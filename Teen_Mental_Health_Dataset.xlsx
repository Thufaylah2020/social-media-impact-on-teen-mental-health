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8_{8D2B9ED6-CB45-43D8-921E-E4337EF39DD8}" xr6:coauthVersionLast="47" xr6:coauthVersionMax="47" xr10:uidLastSave="{00000000-0000-0000-0000-000000000000}"/>
  <bookViews>
    <workbookView xWindow="-120" yWindow="-120" windowWidth="20730" windowHeight="11160" tabRatio="736" firstSheet="1" activeTab="4" xr2:uid="{ED84D04E-94F1-4BBA-A08C-837E5BA87F2C}"/>
  </bookViews>
  <sheets>
    <sheet name="Teen_Mental_Health_Dataset" sheetId="2" r:id="rId1"/>
    <sheet name="Working sheet" sheetId="3" r:id="rId2"/>
    <sheet name="Analis Data" sheetId="1" r:id="rId3"/>
    <sheet name="Pivot Table" sheetId="4" r:id="rId4"/>
    <sheet name="Dashboard" sheetId="5" r:id="rId5"/>
  </sheets>
  <definedNames>
    <definedName name="_xlnm._FilterDatabase" localSheetId="1" hidden="1">'Working sheet'!$A$1:$M$1</definedName>
    <definedName name="Slicer_gender">#N/A</definedName>
    <definedName name="Slicer_platform_usage">#N/A</definedName>
  </definedNames>
  <calcPr calcId="191029"/>
  <pivotCaches>
    <pivotCache cacheId="0"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H128" i="4"/>
  <c r="F128" i="4"/>
  <c r="H17" i="1"/>
  <c r="F17" i="1"/>
  <c r="J16" i="1"/>
  <c r="H16" i="1"/>
  <c r="F16" i="1"/>
  <c r="J13" i="1"/>
  <c r="I13" i="1"/>
  <c r="G13" i="1"/>
  <c r="G10" i="1"/>
  <c r="E10" i="1"/>
  <c r="G9" i="1"/>
  <c r="E9" i="1"/>
  <c r="H8" i="1"/>
  <c r="F8" i="1"/>
  <c r="E8" i="1"/>
  <c r="G7" i="1"/>
  <c r="E7" i="1"/>
  <c r="E6" i="1"/>
  <c r="E5" i="1"/>
  <c r="E4" i="1"/>
  <c r="E3" i="1"/>
  <c r="E2" i="1"/>
  <c r="E1" i="1"/>
</calcChain>
</file>

<file path=xl/sharedStrings.xml><?xml version="1.0" encoding="utf-8"?>
<sst xmlns="http://schemas.openxmlformats.org/spreadsheetml/2006/main" count="7355" uniqueCount="73">
  <si>
    <t>Total Responden</t>
  </si>
  <si>
    <t>Terdepresi</t>
  </si>
  <si>
    <t>Rata-rata medsos</t>
  </si>
  <si>
    <t>Rata-rata tidur</t>
  </si>
  <si>
    <t>Rata-rata stress</t>
  </si>
  <si>
    <t>Rata-raya Kecemasan</t>
  </si>
  <si>
    <t>Distribusi Gender</t>
  </si>
  <si>
    <t>Pengguna Platform</t>
  </si>
  <si>
    <t>Rata-rata Jam Medsos (Depresi vs tidak)</t>
  </si>
  <si>
    <t>Depresi - Faktor Resiko Utama</t>
  </si>
  <si>
    <t>Rata-rata jam Tidur (Depresi vs tidak)</t>
  </si>
  <si>
    <t>Depresi Kelompok Jam Tidur</t>
  </si>
  <si>
    <t>Korelasi Jam Tidur &amp; Medsos Terhadap Depresi (%)</t>
  </si>
  <si>
    <t>Depresi Kelompok Jam Medsos</t>
  </si>
  <si>
    <t>Level Stress &amp; Kecemasan</t>
  </si>
  <si>
    <t>Level Stress &amp; Kecemasan pada remaja depresi vs tidak</t>
  </si>
  <si>
    <t>Rata-rata Indikator Mental Per Usia</t>
  </si>
  <si>
    <t>Korelasi Variabel dengan Depresi</t>
  </si>
  <si>
    <t>Depresi per platform</t>
  </si>
  <si>
    <t xml:space="preserve">Depresi berdasarkan platform &amp; gender </t>
  </si>
  <si>
    <t>Depresi per gender</t>
  </si>
  <si>
    <t>age</t>
  </si>
  <si>
    <t>gender</t>
  </si>
  <si>
    <t>daily_social_media_hours</t>
  </si>
  <si>
    <t>platform_usage</t>
  </si>
  <si>
    <t>sleep_hours</t>
  </si>
  <si>
    <t>screen_time_before_sleep</t>
  </si>
  <si>
    <t>academic_performance</t>
  </si>
  <si>
    <t>physical_activity</t>
  </si>
  <si>
    <t>social_interaction_level</t>
  </si>
  <si>
    <t>stress_level</t>
  </si>
  <si>
    <t>anxiety_level</t>
  </si>
  <si>
    <t>addiction_level</t>
  </si>
  <si>
    <t>depression_label</t>
  </si>
  <si>
    <t>male</t>
  </si>
  <si>
    <t>Instagram</t>
  </si>
  <si>
    <t>low</t>
  </si>
  <si>
    <t>female</t>
  </si>
  <si>
    <t>TikTok</t>
  </si>
  <si>
    <t>high</t>
  </si>
  <si>
    <t>medium</t>
  </si>
  <si>
    <t>Both</t>
  </si>
  <si>
    <t>Intagram Tiktok</t>
  </si>
  <si>
    <t>rata medsos tdk depresi</t>
  </si>
  <si>
    <t>rata medsos depresi</t>
  </si>
  <si>
    <t>rata tidur tidak depresi</t>
  </si>
  <si>
    <t>raa tidur depresi</t>
  </si>
  <si>
    <t>Stres (depresi vs tidak)</t>
  </si>
  <si>
    <t>Kecemasan (depresi vs tidak depresi)</t>
  </si>
  <si>
    <t>Tiktok</t>
  </si>
  <si>
    <t>Row Labels</t>
  </si>
  <si>
    <t>Grand Total</t>
  </si>
  <si>
    <t>Count of platform_usage</t>
  </si>
  <si>
    <t>Count of gender</t>
  </si>
  <si>
    <t>Sum of depression_label</t>
  </si>
  <si>
    <t>Average of daily_social_media_hours</t>
  </si>
  <si>
    <t>Average of sleep_hours</t>
  </si>
  <si>
    <t>(All)</t>
  </si>
  <si>
    <t>Average of anxiety_level</t>
  </si>
  <si>
    <t>Average of stress_level</t>
  </si>
  <si>
    <t>Average of addiction_level</t>
  </si>
  <si>
    <t>&lt;5</t>
  </si>
  <si>
    <t>5-8 jam</t>
  </si>
  <si>
    <t>1 - 7 jam 16 orang</t>
  </si>
  <si>
    <t>7-9 jam 15 orang</t>
  </si>
  <si>
    <t>Jam</t>
  </si>
  <si>
    <t>Jumlah</t>
  </si>
  <si>
    <t>5 - 9 Jam</t>
  </si>
  <si>
    <t>&lt; 7 Jam</t>
  </si>
  <si>
    <t>7 - 9 Jam</t>
  </si>
  <si>
    <t>&lt;5 Jam</t>
  </si>
  <si>
    <t>Stress</t>
  </si>
  <si>
    <t>Anxity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</si>
</sst>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10" xfId="0" applyBorder="1"/>
    <xf numFmtId="0" fontId="0" fillId="33" borderId="0" xfId="0" applyFill="1"/>
    <xf numFmtId="0" fontId="0" fillId="0" borderId="0" xfId="0" pivotButton="1"/>
    <xf numFmtId="0" fontId="0" fillId="0" borderId="0" xfId="0" applyAlignment="1">
      <alignment horizontal="left"/>
    </xf>
    <xf numFmtId="16" fontId="0" fillId="0" borderId="0" xfId="0" applyNumberFormat="1"/>
    <xf numFmtId="1" fontId="0" fillId="0" borderId="0" xfId="0" applyNumberFormat="1"/>
    <xf numFmtId="0" fontId="0" fillId="0" borderId="11" xfId="0" applyBorder="1"/>
    <xf numFmtId="0" fontId="0" fillId="0" borderId="12" xfId="0" applyBorder="1"/>
    <xf numFmtId="0" fontId="0" fillId="33" borderId="13" xfId="0" applyFill="1" applyBorder="1"/>
    <xf numFmtId="0" fontId="0" fillId="33" borderId="14" xfId="0" applyFill="1" applyBorder="1"/>
    <xf numFmtId="0" fontId="0" fillId="33" borderId="15" xfId="0" applyFill="1" applyBorder="1"/>
    <xf numFmtId="0" fontId="0" fillId="0" borderId="16" xfId="0" applyBorder="1"/>
    <xf numFmtId="0" fontId="0" fillId="0" borderId="17" xfId="0" applyBorder="1"/>
    <xf numFmtId="0" fontId="0" fillId="0" borderId="18" xfId="0" applyBorder="1"/>
    <xf numFmtId="0" fontId="0" fillId="0" borderId="0" xfId="0" applyNumberForma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ill>
        <patternFill patternType="solid">
          <fgColor indexed="64"/>
          <bgColor theme="4" tint="0.59999389629810485"/>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[Teen_Mental_Health_Dataset_Thufaylah.xlsx]Pivot Table!PivotTable9</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d-ID"/>
              <a:t>Rata-rata Indikator Mental Per Usia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Table'!$C$97</c:f>
              <c:strCache>
                <c:ptCount val="1"/>
                <c:pt idx="0">
                  <c:v>Average of addiction_level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Table'!$B$98:$B$105</c:f>
              <c:strCache>
                <c:ptCount val="7"/>
                <c:pt idx="0">
                  <c:v>13</c:v>
                </c:pt>
                <c:pt idx="1">
                  <c:v>14</c:v>
                </c:pt>
                <c:pt idx="2">
                  <c:v>15</c:v>
                </c:pt>
                <c:pt idx="3">
                  <c:v>16</c:v>
                </c:pt>
                <c:pt idx="4">
                  <c:v>17</c:v>
                </c:pt>
                <c:pt idx="5">
                  <c:v>18</c:v>
                </c:pt>
                <c:pt idx="6">
                  <c:v>19</c:v>
                </c:pt>
              </c:strCache>
            </c:strRef>
          </c:cat>
          <c:val>
            <c:numRef>
              <c:f>'Pivot Table'!$C$98:$C$105</c:f>
              <c:numCache>
                <c:formatCode>General</c:formatCode>
                <c:ptCount val="7"/>
                <c:pt idx="0">
                  <c:v>5.7450000000000001</c:v>
                </c:pt>
                <c:pt idx="1">
                  <c:v>5.2026143790849675</c:v>
                </c:pt>
                <c:pt idx="2">
                  <c:v>5.2833333333333332</c:v>
                </c:pt>
                <c:pt idx="3">
                  <c:v>5.4110429447852759</c:v>
                </c:pt>
                <c:pt idx="4">
                  <c:v>5.7823529411764705</c:v>
                </c:pt>
                <c:pt idx="5">
                  <c:v>5.5813953488372094</c:v>
                </c:pt>
                <c:pt idx="6">
                  <c:v>5.9074074074074074</c:v>
                </c:pt>
              </c:numCache>
            </c:numRef>
          </c:val>
          <c:smooth val="0"/>
          <c:extLst>
            <c:ext xmlns:c16="http://schemas.microsoft.com/office/drawing/2014/chart" uri="{C3380CC4-5D6E-409C-BE32-E72D297353CC}">
              <c16:uniqueId val="{00000000-894D-4C9E-A494-8D3135EA7AB0}"/>
            </c:ext>
          </c:extLst>
        </c:ser>
        <c:ser>
          <c:idx val="1"/>
          <c:order val="1"/>
          <c:tx>
            <c:strRef>
              <c:f>'Pivot Table'!$D$97</c:f>
              <c:strCache>
                <c:ptCount val="1"/>
                <c:pt idx="0">
                  <c:v>Average of anxiety_level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Table'!$B$98:$B$105</c:f>
              <c:strCache>
                <c:ptCount val="7"/>
                <c:pt idx="0">
                  <c:v>13</c:v>
                </c:pt>
                <c:pt idx="1">
                  <c:v>14</c:v>
                </c:pt>
                <c:pt idx="2">
                  <c:v>15</c:v>
                </c:pt>
                <c:pt idx="3">
                  <c:v>16</c:v>
                </c:pt>
                <c:pt idx="4">
                  <c:v>17</c:v>
                </c:pt>
                <c:pt idx="5">
                  <c:v>18</c:v>
                </c:pt>
                <c:pt idx="6">
                  <c:v>19</c:v>
                </c:pt>
              </c:strCache>
            </c:strRef>
          </c:cat>
          <c:val>
            <c:numRef>
              <c:f>'Pivot Table'!$D$98:$D$105</c:f>
              <c:numCache>
                <c:formatCode>General</c:formatCode>
                <c:ptCount val="7"/>
                <c:pt idx="0">
                  <c:v>5.5549999999999997</c:v>
                </c:pt>
                <c:pt idx="1">
                  <c:v>5.333333333333333</c:v>
                </c:pt>
                <c:pt idx="2">
                  <c:v>5.916666666666667</c:v>
                </c:pt>
                <c:pt idx="3">
                  <c:v>5.6441717791411046</c:v>
                </c:pt>
                <c:pt idx="4">
                  <c:v>5.5764705882352938</c:v>
                </c:pt>
                <c:pt idx="5">
                  <c:v>5.4186046511627906</c:v>
                </c:pt>
                <c:pt idx="6">
                  <c:v>6</c:v>
                </c:pt>
              </c:numCache>
            </c:numRef>
          </c:val>
          <c:smooth val="0"/>
          <c:extLst>
            <c:ext xmlns:c16="http://schemas.microsoft.com/office/drawing/2014/chart" uri="{C3380CC4-5D6E-409C-BE32-E72D297353CC}">
              <c16:uniqueId val="{00000001-894D-4C9E-A494-8D3135EA7AB0}"/>
            </c:ext>
          </c:extLst>
        </c:ser>
        <c:ser>
          <c:idx val="2"/>
          <c:order val="2"/>
          <c:tx>
            <c:strRef>
              <c:f>'Pivot Table'!$E$97</c:f>
              <c:strCache>
                <c:ptCount val="1"/>
                <c:pt idx="0">
                  <c:v>Average of stress_level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Table'!$B$98:$B$105</c:f>
              <c:strCache>
                <c:ptCount val="7"/>
                <c:pt idx="0">
                  <c:v>13</c:v>
                </c:pt>
                <c:pt idx="1">
                  <c:v>14</c:v>
                </c:pt>
                <c:pt idx="2">
                  <c:v>15</c:v>
                </c:pt>
                <c:pt idx="3">
                  <c:v>16</c:v>
                </c:pt>
                <c:pt idx="4">
                  <c:v>17</c:v>
                </c:pt>
                <c:pt idx="5">
                  <c:v>18</c:v>
                </c:pt>
                <c:pt idx="6">
                  <c:v>19</c:v>
                </c:pt>
              </c:strCache>
            </c:strRef>
          </c:cat>
          <c:val>
            <c:numRef>
              <c:f>'Pivot Table'!$E$98:$E$105</c:f>
              <c:numCache>
                <c:formatCode>General</c:formatCode>
                <c:ptCount val="7"/>
                <c:pt idx="0">
                  <c:v>5.46</c:v>
                </c:pt>
                <c:pt idx="1">
                  <c:v>6.1764705882352944</c:v>
                </c:pt>
                <c:pt idx="2">
                  <c:v>5.1333333333333337</c:v>
                </c:pt>
                <c:pt idx="3">
                  <c:v>5.4539877300613497</c:v>
                </c:pt>
                <c:pt idx="4">
                  <c:v>5.1705882352941179</c:v>
                </c:pt>
                <c:pt idx="5">
                  <c:v>5.2034883720930232</c:v>
                </c:pt>
                <c:pt idx="6">
                  <c:v>5.6234567901234565</c:v>
                </c:pt>
              </c:numCache>
            </c:numRef>
          </c:val>
          <c:smooth val="0"/>
          <c:extLst>
            <c:ext xmlns:c16="http://schemas.microsoft.com/office/drawing/2014/chart" uri="{C3380CC4-5D6E-409C-BE32-E72D297353CC}">
              <c16:uniqueId val="{00000002-894D-4C9E-A494-8D3135EA7AB0}"/>
            </c:ext>
          </c:extLst>
        </c:ser>
        <c:dLbls>
          <c:showLegendKey val="0"/>
          <c:showVal val="0"/>
          <c:showCatName val="0"/>
          <c:showSerName val="0"/>
          <c:showPercent val="0"/>
          <c:showBubbleSize val="0"/>
        </c:dLbls>
        <c:marker val="1"/>
        <c:smooth val="0"/>
        <c:axId val="436626080"/>
        <c:axId val="436626440"/>
      </c:lineChart>
      <c:catAx>
        <c:axId val="4366260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Umur</a:t>
                </a:r>
                <a:endParaRPr lang="id-ID"/>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id-ID"/>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436626440"/>
        <c:crosses val="autoZero"/>
        <c:auto val="1"/>
        <c:lblAlgn val="ctr"/>
        <c:lblOffset val="100"/>
        <c:noMultiLvlLbl val="0"/>
      </c:catAx>
      <c:valAx>
        <c:axId val="436626440"/>
        <c:scaling>
          <c:orientation val="minMax"/>
          <c:max val="7"/>
          <c:min val="4.5"/>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Level</a:t>
                </a:r>
                <a:endParaRPr lang="id-ID"/>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id-ID"/>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436626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[Teen_Mental_Health_Dataset_Thufaylah.xlsx]Pivot Table!PivotTable1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Distribusi</a:t>
            </a:r>
            <a:r>
              <a:rPr lang="en-US" baseline="0"/>
              <a:t> Gender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7150" dist="19050" dir="5400000" algn="ctr" rotWithShape="0">
              <a:srgbClr val="000000">
                <a:alpha val="63000"/>
              </a:srgbClr>
            </a:outerShdw>
          </a:effectLst>
        </c:spPr>
      </c:pivotFmt>
      <c:pivotFmt>
        <c:idx val="2"/>
        <c:spPr>
          <a:solidFill>
            <a:srgbClr val="FF6699"/>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Table'!$C$2</c:f>
              <c:strCache>
                <c:ptCount val="1"/>
                <c:pt idx="0">
                  <c:v>Total</c:v>
                </c:pt>
              </c:strCache>
            </c:strRef>
          </c:tx>
          <c:dPt>
            <c:idx val="0"/>
            <c:bubble3D val="0"/>
            <c:spPr>
              <a:solidFill>
                <a:srgbClr val="FF66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3DB-48D0-9898-F594BA5A2008}"/>
              </c:ext>
            </c:extLst>
          </c:dPt>
          <c:dPt>
            <c:idx val="1"/>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3DB-48D0-9898-F594BA5A20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Table'!$B$3:$B$5</c:f>
              <c:strCache>
                <c:ptCount val="2"/>
                <c:pt idx="0">
                  <c:v>female</c:v>
                </c:pt>
                <c:pt idx="1">
                  <c:v>male</c:v>
                </c:pt>
              </c:strCache>
            </c:strRef>
          </c:cat>
          <c:val>
            <c:numRef>
              <c:f>'Pivot Table'!$C$3:$C$5</c:f>
              <c:numCache>
                <c:formatCode>General</c:formatCode>
                <c:ptCount val="2"/>
                <c:pt idx="0">
                  <c:v>585</c:v>
                </c:pt>
                <c:pt idx="1">
                  <c:v>615</c:v>
                </c:pt>
              </c:numCache>
            </c:numRef>
          </c:val>
          <c:extLst>
            <c:ext xmlns:c16="http://schemas.microsoft.com/office/drawing/2014/chart" uri="{C3380CC4-5D6E-409C-BE32-E72D297353CC}">
              <c16:uniqueId val="{00000000-E3DB-48D0-9898-F594BA5A200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[Teen_Mental_Health_Dataset_Thufaylah.xlsx]Pivot Table!PivotTable2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Pengguna Platform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ivotFmts>
      <c:pivotFmt>
        <c:idx val="0"/>
        <c:spPr>
          <a:solidFill>
            <a:schemeClr val="accent5">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7150" dist="19050" dir="5400000" algn="ctr" rotWithShape="0">
              <a:srgbClr val="000000">
                <a:alpha val="63000"/>
              </a:srgbClr>
            </a:outerShdw>
          </a:effectLst>
        </c:spPr>
      </c:pivotFmt>
      <c:pivotFmt>
        <c:idx val="2"/>
        <c:spPr>
          <a:solidFill>
            <a:schemeClr val="bg2">
              <a:lumMod val="75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Table'!$C$9</c:f>
              <c:strCache>
                <c:ptCount val="1"/>
                <c:pt idx="0">
                  <c:v>Total</c:v>
                </c:pt>
              </c:strCache>
            </c:strRef>
          </c:tx>
          <c:spPr>
            <a:solidFill>
              <a:schemeClr val="accent5">
                <a:lumMod val="40000"/>
                <a:lumOff val="6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730-4C6D-8185-4AB4F23A60B2}"/>
              </c:ext>
            </c:extLst>
          </c:dPt>
          <c:dPt>
            <c:idx val="2"/>
            <c:invertIfNegative val="0"/>
            <c:bubble3D val="0"/>
            <c:spPr>
              <a:solidFill>
                <a:schemeClr val="bg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730-4C6D-8185-4AB4F23A60B2}"/>
              </c:ext>
            </c:extLst>
          </c:dPt>
          <c:cat>
            <c:strRef>
              <c:f>'Pivot Table'!$B$10:$B$13</c:f>
              <c:strCache>
                <c:ptCount val="3"/>
                <c:pt idx="0">
                  <c:v>Both</c:v>
                </c:pt>
                <c:pt idx="1">
                  <c:v>Instagram</c:v>
                </c:pt>
                <c:pt idx="2">
                  <c:v>TikTok</c:v>
                </c:pt>
              </c:strCache>
            </c:strRef>
          </c:cat>
          <c:val>
            <c:numRef>
              <c:f>'Pivot Table'!$C$10:$C$13</c:f>
              <c:numCache>
                <c:formatCode>General</c:formatCode>
                <c:ptCount val="3"/>
                <c:pt idx="0">
                  <c:v>391</c:v>
                </c:pt>
                <c:pt idx="1">
                  <c:v>411</c:v>
                </c:pt>
                <c:pt idx="2">
                  <c:v>398</c:v>
                </c:pt>
              </c:numCache>
            </c:numRef>
          </c:val>
          <c:extLst>
            <c:ext xmlns:c16="http://schemas.microsoft.com/office/drawing/2014/chart" uri="{C3380CC4-5D6E-409C-BE32-E72D297353CC}">
              <c16:uniqueId val="{00000000-E730-4C6D-8185-4AB4F23A60B2}"/>
            </c:ext>
          </c:extLst>
        </c:ser>
        <c:dLbls>
          <c:showLegendKey val="0"/>
          <c:showVal val="0"/>
          <c:showCatName val="0"/>
          <c:showSerName val="0"/>
          <c:showPercent val="0"/>
          <c:showBubbleSize val="0"/>
        </c:dLbls>
        <c:gapWidth val="100"/>
        <c:overlap val="-24"/>
        <c:axId val="682815552"/>
        <c:axId val="682816272"/>
      </c:barChart>
      <c:catAx>
        <c:axId val="68281555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2816272"/>
        <c:crosses val="autoZero"/>
        <c:auto val="1"/>
        <c:lblAlgn val="ctr"/>
        <c:lblOffset val="100"/>
        <c:noMultiLvlLbl val="0"/>
      </c:catAx>
      <c:valAx>
        <c:axId val="6828162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281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d-ID" sz="1600" b="0" i="0" u="none" strike="noStrike" baseline="0">
                <a:effectLst/>
              </a:rPr>
              <a:t>Depresi Kelompok Jam Tidur</a:t>
            </a:r>
            <a:r>
              <a:rPr lang="id-ID" sz="1600" b="1" i="0" u="none" strike="noStrike" baseline="0">
                <a:effectLst/>
              </a:rPr>
              <a:t> </a:t>
            </a:r>
            <a:endParaRPr lang="id-ID"/>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lotArea>
      <c:layout/>
      <c:barChart>
        <c:barDir val="col"/>
        <c:grouping val="clustered"/>
        <c:varyColors val="0"/>
        <c:ser>
          <c:idx val="0"/>
          <c:order val="0"/>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Table'!$M$42:$M$43</c:f>
              <c:strCache>
                <c:ptCount val="2"/>
                <c:pt idx="0">
                  <c:v>&lt; 7 Jam</c:v>
                </c:pt>
                <c:pt idx="1">
                  <c:v>7 - 9 Jam</c:v>
                </c:pt>
              </c:strCache>
            </c:strRef>
          </c:cat>
          <c:val>
            <c:numRef>
              <c:f>'Pivot Table'!$N$42:$N$43</c:f>
              <c:numCache>
                <c:formatCode>General</c:formatCode>
                <c:ptCount val="2"/>
                <c:pt idx="0">
                  <c:v>16</c:v>
                </c:pt>
                <c:pt idx="1">
                  <c:v>15</c:v>
                </c:pt>
              </c:numCache>
            </c:numRef>
          </c:val>
          <c:extLst>
            <c:ext xmlns:c16="http://schemas.microsoft.com/office/drawing/2014/chart" uri="{C3380CC4-5D6E-409C-BE32-E72D297353CC}">
              <c16:uniqueId val="{00000000-4130-4968-AC16-25FC3DC5AE96}"/>
            </c:ext>
          </c:extLst>
        </c:ser>
        <c:dLbls>
          <c:dLblPos val="inEnd"/>
          <c:showLegendKey val="0"/>
          <c:showVal val="1"/>
          <c:showCatName val="0"/>
          <c:showSerName val="0"/>
          <c:showPercent val="0"/>
          <c:showBubbleSize val="0"/>
        </c:dLbls>
        <c:gapWidth val="100"/>
        <c:overlap val="-24"/>
        <c:axId val="684170864"/>
        <c:axId val="684167624"/>
      </c:barChart>
      <c:catAx>
        <c:axId val="6841708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4167624"/>
        <c:crosses val="autoZero"/>
        <c:auto val="1"/>
        <c:lblAlgn val="ctr"/>
        <c:lblOffset val="100"/>
        <c:noMultiLvlLbl val="0"/>
      </c:catAx>
      <c:valAx>
        <c:axId val="684167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417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[Teen_Mental_Health_Dataset_Thufaylah.xlsx]Pivot Table!PivotTable11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Depresi per Platform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a:outerShdw blurRad="57150" dist="19050" dir="5400000" algn="ctr" rotWithShape="0">
              <a:srgbClr val="000000">
                <a:alpha val="63000"/>
              </a:srgbClr>
            </a:outerShdw>
          </a:effectLst>
        </c:spPr>
      </c:pivotFmt>
      <c:pivotFmt>
        <c:idx val="2"/>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3"/>
        <c:spPr>
          <a:solidFill>
            <a:schemeClr val="accent1"/>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Table'!$C$121</c:f>
              <c:strCache>
                <c:ptCount val="1"/>
                <c:pt idx="0">
                  <c:v>Total</c:v>
                </c:pt>
              </c:strCache>
            </c:strRef>
          </c:tx>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487C-439D-9AE3-96338EA3BC6D}"/>
              </c:ext>
            </c:extLst>
          </c:dPt>
          <c:dPt>
            <c:idx val="1"/>
            <c:bubble3D val="0"/>
            <c:spPr>
              <a:solidFill>
                <a:schemeClr val="accent5">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87C-439D-9AE3-96338EA3BC6D}"/>
              </c:ext>
            </c:extLst>
          </c:dPt>
          <c:dPt>
            <c:idx val="2"/>
            <c:bubble3D val="0"/>
            <c:spPr>
              <a:solidFill>
                <a:schemeClr val="bg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487C-439D-9AE3-96338EA3BC6D}"/>
              </c:ext>
            </c:extLst>
          </c:dPt>
          <c:cat>
            <c:strRef>
              <c:f>'Pivot Table'!$B$122:$B$125</c:f>
              <c:strCache>
                <c:ptCount val="3"/>
                <c:pt idx="0">
                  <c:v>Both</c:v>
                </c:pt>
                <c:pt idx="1">
                  <c:v>Instagram</c:v>
                </c:pt>
                <c:pt idx="2">
                  <c:v>TikTok</c:v>
                </c:pt>
              </c:strCache>
            </c:strRef>
          </c:cat>
          <c:val>
            <c:numRef>
              <c:f>'Pivot Table'!$C$122:$C$125</c:f>
              <c:numCache>
                <c:formatCode>General</c:formatCode>
                <c:ptCount val="3"/>
                <c:pt idx="0">
                  <c:v>9</c:v>
                </c:pt>
                <c:pt idx="1">
                  <c:v>10</c:v>
                </c:pt>
                <c:pt idx="2">
                  <c:v>12</c:v>
                </c:pt>
              </c:numCache>
            </c:numRef>
          </c:val>
          <c:extLst>
            <c:ext xmlns:c16="http://schemas.microsoft.com/office/drawing/2014/chart" uri="{C3380CC4-5D6E-409C-BE32-E72D297353CC}">
              <c16:uniqueId val="{00000000-487C-439D-9AE3-96338EA3BC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[Teen_Mental_Health_Dataset_Thufaylah.xlsx]Pivot Table!PivotTable12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Depresi Per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solidFill>
            <a:srgbClr val="FF6699"/>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 Table'!$C$129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66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383-446F-B53A-166C4D254AA9}"/>
              </c:ext>
            </c:extLst>
          </c:dPt>
          <c:cat>
            <c:strRef>
              <c:f>'Pivot Table'!$B$130:$B$132</c:f>
              <c:strCache>
                <c:ptCount val="2"/>
                <c:pt idx="0">
                  <c:v>female</c:v>
                </c:pt>
                <c:pt idx="1">
                  <c:v>male</c:v>
                </c:pt>
              </c:strCache>
            </c:strRef>
          </c:cat>
          <c:val>
            <c:numRef>
              <c:f>'Pivot Table'!$C$130:$C$132</c:f>
              <c:numCache>
                <c:formatCode>General</c:formatCode>
                <c:ptCount val="2"/>
                <c:pt idx="0">
                  <c:v>17</c:v>
                </c:pt>
                <c:pt idx="1">
                  <c:v>14</c:v>
                </c:pt>
              </c:numCache>
            </c:numRef>
          </c:val>
          <c:extLst>
            <c:ext xmlns:c16="http://schemas.microsoft.com/office/drawing/2014/chart" uri="{C3380CC4-5D6E-409C-BE32-E72D297353CC}">
              <c16:uniqueId val="{00000000-F383-446F-B53A-166C4D254AA9}"/>
            </c:ext>
          </c:extLst>
        </c:ser>
        <c:dLbls>
          <c:showLegendKey val="0"/>
          <c:showVal val="0"/>
          <c:showCatName val="0"/>
          <c:showSerName val="0"/>
          <c:showPercent val="0"/>
          <c:showBubbleSize val="0"/>
        </c:dLbls>
        <c:gapWidth val="115"/>
        <c:overlap val="-20"/>
        <c:axId val="684144944"/>
        <c:axId val="684143864"/>
      </c:barChart>
      <c:catAx>
        <c:axId val="6841449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4143864"/>
        <c:crosses val="autoZero"/>
        <c:auto val="1"/>
        <c:lblAlgn val="ctr"/>
        <c:lblOffset val="100"/>
        <c:noMultiLvlLbl val="0"/>
      </c:catAx>
      <c:valAx>
        <c:axId val="6841438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414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[Teen_Mental_Health_Dataset_Thufaylah.xlsx]Pivot Table!PivotTable13</c:name>
    <c:fmtId val="3"/>
  </c:pivotSource>
  <c:chart>
    <c:title>
      <c:tx>
        <c:rich>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Rata-rata Jam Medsos dan Jam Tidur Depresi</a:t>
            </a:r>
          </a:p>
        </c:rich>
      </c:tx>
      <c:overlay val="0"/>
      <c:spPr>
        <a:noFill/>
        <a:ln>
          <a:noFill/>
        </a:ln>
        <a:effectLst/>
      </c:spPr>
      <c:txPr>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Table'!$C$22</c:f>
              <c:strCache>
                <c:ptCount val="1"/>
                <c:pt idx="0">
                  <c:v>Average of daily_social_media_hours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Table'!$B$23:$B$25</c:f>
              <c:strCache>
                <c:ptCount val="2"/>
                <c:pt idx="0">
                  <c:v>0</c:v>
                </c:pt>
                <c:pt idx="1">
                  <c:v>1</c:v>
                </c:pt>
              </c:strCache>
            </c:strRef>
          </c:cat>
          <c:val>
            <c:numRef>
              <c:f>'Pivot Table'!$C$23:$C$25</c:f>
              <c:numCache>
                <c:formatCode>General</c:formatCode>
                <c:ptCount val="2"/>
                <c:pt idx="0">
                  <c:v>4.4787852865697237</c:v>
                </c:pt>
                <c:pt idx="1">
                  <c:v>6.7193548387096804</c:v>
                </c:pt>
              </c:numCache>
            </c:numRef>
          </c:val>
          <c:extLst>
            <c:ext xmlns:c16="http://schemas.microsoft.com/office/drawing/2014/chart" uri="{C3380CC4-5D6E-409C-BE32-E72D297353CC}">
              <c16:uniqueId val="{00000000-D535-42BD-A05C-38171FAB30A8}"/>
            </c:ext>
          </c:extLst>
        </c:ser>
        <c:ser>
          <c:idx val="1"/>
          <c:order val="1"/>
          <c:tx>
            <c:strRef>
              <c:f>'Pivot Table'!$D$22</c:f>
              <c:strCache>
                <c:ptCount val="1"/>
                <c:pt idx="0">
                  <c:v>Average of sleep_hours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Table'!$B$23:$B$25</c:f>
              <c:strCache>
                <c:ptCount val="2"/>
                <c:pt idx="0">
                  <c:v>0</c:v>
                </c:pt>
                <c:pt idx="1">
                  <c:v>1</c:v>
                </c:pt>
              </c:strCache>
            </c:strRef>
          </c:cat>
          <c:val>
            <c:numRef>
              <c:f>'Pivot Table'!$D$23:$D$25</c:f>
              <c:numCache>
                <c:formatCode>General</c:formatCode>
                <c:ptCount val="2"/>
                <c:pt idx="0">
                  <c:v>6.4941830624465373</c:v>
                </c:pt>
                <c:pt idx="1">
                  <c:v>4.7612903225806456</c:v>
                </c:pt>
              </c:numCache>
            </c:numRef>
          </c:val>
          <c:extLst>
            <c:ext xmlns:c16="http://schemas.microsoft.com/office/drawing/2014/chart" uri="{C3380CC4-5D6E-409C-BE32-E72D297353CC}">
              <c16:uniqueId val="{00000001-D535-42BD-A05C-38171FAB30A8}"/>
            </c:ext>
          </c:extLst>
        </c:ser>
        <c:dLbls>
          <c:showLegendKey val="0"/>
          <c:showVal val="0"/>
          <c:showCatName val="0"/>
          <c:showSerName val="0"/>
          <c:showPercent val="0"/>
          <c:showBubbleSize val="0"/>
        </c:dLbls>
        <c:gapWidth val="100"/>
        <c:overlap val="-24"/>
        <c:axId val="682820952"/>
        <c:axId val="682822032"/>
      </c:barChart>
      <c:catAx>
        <c:axId val="682820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2822032"/>
        <c:crosses val="autoZero"/>
        <c:auto val="1"/>
        <c:lblAlgn val="ctr"/>
        <c:lblOffset val="100"/>
        <c:noMultiLvlLbl val="0"/>
      </c:catAx>
      <c:valAx>
        <c:axId val="6828220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2820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[Teen_Mental_Health_Dataset_Thufaylah.xlsx]Pivot Table!PivotTable3</c:name>
    <c:fmtId val="4"/>
  </c:pivotSource>
  <c:chart>
    <c:title>
      <c:tx>
        <c:rich>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800"/>
              <a:t>Rata-rata</a:t>
            </a:r>
            <a:r>
              <a:rPr lang="en-US" sz="800" baseline="0"/>
              <a:t> Jam Medsos dan Jam Tidur Tidak Depresi</a:t>
            </a:r>
          </a:p>
        </c:rich>
      </c:tx>
      <c:overlay val="0"/>
      <c:spPr>
        <a:noFill/>
        <a:ln>
          <a:noFill/>
        </a:ln>
        <a:effectLst/>
      </c:spPr>
      <c:txPr>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Table'!$C$16</c:f>
              <c:strCache>
                <c:ptCount val="1"/>
                <c:pt idx="0">
                  <c:v>Average of daily_social_media_hours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Table'!$B$17:$B$18</c:f>
              <c:strCache>
                <c:ptCount val="1"/>
                <c:pt idx="0">
                  <c:v>0</c:v>
                </c:pt>
              </c:strCache>
            </c:strRef>
          </c:cat>
          <c:val>
            <c:numRef>
              <c:f>'Pivot Table'!$C$17:$C$18</c:f>
              <c:numCache>
                <c:formatCode>General</c:formatCode>
                <c:ptCount val="1"/>
                <c:pt idx="0">
                  <c:v>4.4787852865697237</c:v>
                </c:pt>
              </c:numCache>
            </c:numRef>
          </c:val>
          <c:extLst>
            <c:ext xmlns:c16="http://schemas.microsoft.com/office/drawing/2014/chart" uri="{C3380CC4-5D6E-409C-BE32-E72D297353CC}">
              <c16:uniqueId val="{00000000-6689-4A70-9A78-59BB594C4679}"/>
            </c:ext>
          </c:extLst>
        </c:ser>
        <c:ser>
          <c:idx val="1"/>
          <c:order val="1"/>
          <c:tx>
            <c:strRef>
              <c:f>'Pivot Table'!$D$16</c:f>
              <c:strCache>
                <c:ptCount val="1"/>
                <c:pt idx="0">
                  <c:v>Average of sleep_hours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Table'!$B$17:$B$18</c:f>
              <c:strCache>
                <c:ptCount val="1"/>
                <c:pt idx="0">
                  <c:v>0</c:v>
                </c:pt>
              </c:strCache>
            </c:strRef>
          </c:cat>
          <c:val>
            <c:numRef>
              <c:f>'Pivot Table'!$D$17:$D$18</c:f>
              <c:numCache>
                <c:formatCode>General</c:formatCode>
                <c:ptCount val="1"/>
                <c:pt idx="0">
                  <c:v>6.4941830624465382</c:v>
                </c:pt>
              </c:numCache>
            </c:numRef>
          </c:val>
          <c:extLst>
            <c:ext xmlns:c16="http://schemas.microsoft.com/office/drawing/2014/chart" uri="{C3380CC4-5D6E-409C-BE32-E72D297353CC}">
              <c16:uniqueId val="{00000001-6689-4A70-9A78-59BB594C4679}"/>
            </c:ext>
          </c:extLst>
        </c:ser>
        <c:dLbls>
          <c:showLegendKey val="0"/>
          <c:showVal val="0"/>
          <c:showCatName val="0"/>
          <c:showSerName val="0"/>
          <c:showPercent val="0"/>
          <c:showBubbleSize val="0"/>
        </c:dLbls>
        <c:gapWidth val="100"/>
        <c:overlap val="-24"/>
        <c:axId val="680985096"/>
        <c:axId val="680985456"/>
      </c:barChart>
      <c:catAx>
        <c:axId val="6809850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0985456"/>
        <c:crosses val="autoZero"/>
        <c:auto val="1"/>
        <c:lblAlgn val="ctr"/>
        <c:lblOffset val="100"/>
        <c:noMultiLvlLbl val="0"/>
      </c:catAx>
      <c:valAx>
        <c:axId val="6809854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0985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d-ID"/>
              <a:t>Depresi Kelompok Jam Medsos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lotArea>
      <c:layout/>
      <c:barChart>
        <c:barDir val="col"/>
        <c:grouping val="clustered"/>
        <c:varyColors val="0"/>
        <c:ser>
          <c:idx val="0"/>
          <c:order val="0"/>
          <c:spPr>
            <a:solidFill>
              <a:schemeClr val="accent2"/>
            </a:solidFill>
            <a:ln>
              <a:noFill/>
            </a:ln>
            <a:effectLst>
              <a:outerShdw blurRad="57150" dist="19050" dir="5400000" algn="ctr" rotWithShape="0">
                <a:srgbClr val="000000">
                  <a:alpha val="63000"/>
                </a:srgbClr>
              </a:outerShdw>
            </a:effectLst>
          </c:spPr>
          <c:invertIfNegative val="0"/>
          <c:cat>
            <c:strRef>
              <c:f>'Pivot Table'!$B$43:$B$44</c:f>
              <c:strCache>
                <c:ptCount val="2"/>
                <c:pt idx="0">
                  <c:v>&lt;5 Jam</c:v>
                </c:pt>
                <c:pt idx="1">
                  <c:v>5 - 9 Jam</c:v>
                </c:pt>
              </c:strCache>
            </c:strRef>
          </c:cat>
          <c:val>
            <c:numRef>
              <c:f>'Pivot Table'!$C$43:$C$44</c:f>
              <c:numCache>
                <c:formatCode>General</c:formatCode>
                <c:ptCount val="2"/>
                <c:pt idx="0">
                  <c:v>22</c:v>
                </c:pt>
                <c:pt idx="1">
                  <c:v>9</c:v>
                </c:pt>
              </c:numCache>
            </c:numRef>
          </c:val>
          <c:extLst>
            <c:ext xmlns:c16="http://schemas.microsoft.com/office/drawing/2014/chart" uri="{C3380CC4-5D6E-409C-BE32-E72D297353CC}">
              <c16:uniqueId val="{00000000-FDFF-4FE6-9B17-923D9597221D}"/>
            </c:ext>
          </c:extLst>
        </c:ser>
        <c:dLbls>
          <c:showLegendKey val="0"/>
          <c:showVal val="0"/>
          <c:showCatName val="0"/>
          <c:showSerName val="0"/>
          <c:showPercent val="0"/>
          <c:showBubbleSize val="0"/>
        </c:dLbls>
        <c:gapWidth val="100"/>
        <c:overlap val="-24"/>
        <c:axId val="663976336"/>
        <c:axId val="663972376"/>
      </c:barChart>
      <c:catAx>
        <c:axId val="663976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63972376"/>
        <c:crosses val="autoZero"/>
        <c:auto val="1"/>
        <c:lblAlgn val="ctr"/>
        <c:lblOffset val="100"/>
        <c:noMultiLvlLbl val="0"/>
      </c:catAx>
      <c:valAx>
        <c:axId val="663972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6397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[Teen_Mental_Health_Dataset_Thufaylah.xlsx]Pivot Table!PivotTable2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Pengguna Platform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ivotFmts>
      <c:pivotFmt>
        <c:idx val="0"/>
        <c:spPr>
          <a:solidFill>
            <a:schemeClr val="accent5">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7150" dist="19050" dir="5400000" algn="ctr" rotWithShape="0">
              <a:srgbClr val="000000">
                <a:alpha val="63000"/>
              </a:srgbClr>
            </a:outerShdw>
          </a:effectLst>
        </c:spPr>
      </c:pivotFmt>
      <c:pivotFmt>
        <c:idx val="2"/>
        <c:spPr>
          <a:solidFill>
            <a:schemeClr val="bg2">
              <a:lumMod val="75000"/>
            </a:schemeClr>
          </a:solidFill>
          <a:ln>
            <a:noFill/>
          </a:ln>
          <a:effectLst>
            <a:outerShdw blurRad="57150" dist="19050" dir="5400000" algn="ctr" rotWithShape="0">
              <a:srgbClr val="000000">
                <a:alpha val="63000"/>
              </a:srgbClr>
            </a:outerShdw>
          </a:effectLst>
        </c:spPr>
      </c:pivotFmt>
      <c:pivotFmt>
        <c:idx val="3"/>
        <c:spPr>
          <a:solidFill>
            <a:schemeClr val="accent5">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7150" dist="19050" dir="5400000" algn="ctr" rotWithShape="0">
              <a:srgbClr val="000000">
                <a:alpha val="63000"/>
              </a:srgbClr>
            </a:outerShdw>
          </a:effectLst>
        </c:spPr>
      </c:pivotFmt>
      <c:pivotFmt>
        <c:idx val="5"/>
        <c:spPr>
          <a:solidFill>
            <a:schemeClr val="bg2">
              <a:lumMod val="75000"/>
            </a:schemeClr>
          </a:solidFill>
          <a:ln>
            <a:noFill/>
          </a:ln>
          <a:effectLst>
            <a:outerShdw blurRad="57150" dist="19050" dir="5400000" algn="ctr" rotWithShape="0">
              <a:srgbClr val="000000">
                <a:alpha val="63000"/>
              </a:srgbClr>
            </a:outerShdw>
          </a:effectLst>
        </c:spPr>
      </c:pivotFmt>
      <c:pivotFmt>
        <c:idx val="6"/>
        <c:spPr>
          <a:solidFill>
            <a:schemeClr val="accent5">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57150" dist="19050" dir="5400000" algn="ctr" rotWithShape="0">
              <a:srgbClr val="000000">
                <a:alpha val="63000"/>
              </a:srgbClr>
            </a:outerShdw>
          </a:effectLst>
        </c:spPr>
      </c:pivotFmt>
      <c:pivotFmt>
        <c:idx val="8"/>
        <c:spPr>
          <a:solidFill>
            <a:schemeClr val="bg2">
              <a:lumMod val="75000"/>
            </a:schemeClr>
          </a:solidFill>
          <a:ln>
            <a:noFill/>
          </a:ln>
          <a:effectLst>
            <a:outerShdw blurRad="57150" dist="19050" dir="5400000" algn="ctr" rotWithShape="0">
              <a:srgbClr val="000000">
                <a:alpha val="63000"/>
              </a:srgbClr>
            </a:outerShdw>
          </a:effectLst>
        </c:spPr>
      </c:pivotFmt>
      <c:pivotFmt>
        <c:idx val="9"/>
        <c:spPr>
          <a:solidFill>
            <a:schemeClr val="accent5">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57150" dist="19050" dir="5400000" algn="ctr" rotWithShape="0">
              <a:srgbClr val="000000">
                <a:alpha val="63000"/>
              </a:srgbClr>
            </a:outerShdw>
          </a:effectLst>
        </c:spPr>
      </c:pivotFmt>
      <c:pivotFmt>
        <c:idx val="11"/>
        <c:spPr>
          <a:solidFill>
            <a:schemeClr val="bg2">
              <a:lumMod val="75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Table'!$C$9</c:f>
              <c:strCache>
                <c:ptCount val="1"/>
                <c:pt idx="0">
                  <c:v>Total</c:v>
                </c:pt>
              </c:strCache>
            </c:strRef>
          </c:tx>
          <c:spPr>
            <a:solidFill>
              <a:schemeClr val="accent5">
                <a:lumMod val="40000"/>
                <a:lumOff val="6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CDB-4EB3-8940-D6D3102215FE}"/>
              </c:ext>
            </c:extLst>
          </c:dPt>
          <c:dPt>
            <c:idx val="2"/>
            <c:invertIfNegative val="0"/>
            <c:bubble3D val="0"/>
            <c:spPr>
              <a:solidFill>
                <a:schemeClr val="bg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CDB-4EB3-8940-D6D3102215FE}"/>
              </c:ext>
            </c:extLst>
          </c:dPt>
          <c:cat>
            <c:strRef>
              <c:f>'Pivot Table'!$B$10:$B$13</c:f>
              <c:strCache>
                <c:ptCount val="3"/>
                <c:pt idx="0">
                  <c:v>Both</c:v>
                </c:pt>
                <c:pt idx="1">
                  <c:v>Instagram</c:v>
                </c:pt>
                <c:pt idx="2">
                  <c:v>TikTok</c:v>
                </c:pt>
              </c:strCache>
            </c:strRef>
          </c:cat>
          <c:val>
            <c:numRef>
              <c:f>'Pivot Table'!$C$10:$C$13</c:f>
              <c:numCache>
                <c:formatCode>General</c:formatCode>
                <c:ptCount val="3"/>
                <c:pt idx="0">
                  <c:v>391</c:v>
                </c:pt>
                <c:pt idx="1">
                  <c:v>411</c:v>
                </c:pt>
                <c:pt idx="2">
                  <c:v>398</c:v>
                </c:pt>
              </c:numCache>
            </c:numRef>
          </c:val>
          <c:extLst>
            <c:ext xmlns:c16="http://schemas.microsoft.com/office/drawing/2014/chart" uri="{C3380CC4-5D6E-409C-BE32-E72D297353CC}">
              <c16:uniqueId val="{00000004-5CDB-4EB3-8940-D6D3102215FE}"/>
            </c:ext>
          </c:extLst>
        </c:ser>
        <c:dLbls>
          <c:showLegendKey val="0"/>
          <c:showVal val="0"/>
          <c:showCatName val="0"/>
          <c:showSerName val="0"/>
          <c:showPercent val="0"/>
          <c:showBubbleSize val="0"/>
        </c:dLbls>
        <c:gapWidth val="100"/>
        <c:overlap val="-24"/>
        <c:axId val="682815552"/>
        <c:axId val="682816272"/>
      </c:barChart>
      <c:catAx>
        <c:axId val="68281555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2816272"/>
        <c:crosses val="autoZero"/>
        <c:auto val="1"/>
        <c:lblAlgn val="ctr"/>
        <c:lblOffset val="100"/>
        <c:noMultiLvlLbl val="0"/>
      </c:catAx>
      <c:valAx>
        <c:axId val="6828162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281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[Teen_Mental_Health_Dataset_Thufaylah.xlsx]Pivot Table!PivotTable13</c:name>
    <c:fmtId val="17"/>
  </c:pivotSource>
  <c:chart>
    <c:title>
      <c:tx>
        <c:rich>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8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Rata-rata Jam Medsos dan Jam Tidur Depresi</a:t>
            </a:r>
          </a:p>
        </c:rich>
      </c:tx>
      <c:overlay val="0"/>
      <c:spPr>
        <a:noFill/>
        <a:ln>
          <a:noFill/>
        </a:ln>
        <a:effectLst/>
      </c:spPr>
      <c:txPr>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Table'!$C$22</c:f>
              <c:strCache>
                <c:ptCount val="1"/>
                <c:pt idx="0">
                  <c:v>Average of daily_social_media_hours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Table'!$B$23:$B$25</c:f>
              <c:strCache>
                <c:ptCount val="2"/>
                <c:pt idx="0">
                  <c:v>0</c:v>
                </c:pt>
                <c:pt idx="1">
                  <c:v>1</c:v>
                </c:pt>
              </c:strCache>
            </c:strRef>
          </c:cat>
          <c:val>
            <c:numRef>
              <c:f>'Pivot Table'!$C$23:$C$25</c:f>
              <c:numCache>
                <c:formatCode>General</c:formatCode>
                <c:ptCount val="2"/>
                <c:pt idx="0">
                  <c:v>4.4787852865697237</c:v>
                </c:pt>
                <c:pt idx="1">
                  <c:v>6.7193548387096804</c:v>
                </c:pt>
              </c:numCache>
            </c:numRef>
          </c:val>
          <c:extLst>
            <c:ext xmlns:c16="http://schemas.microsoft.com/office/drawing/2014/chart" uri="{C3380CC4-5D6E-409C-BE32-E72D297353CC}">
              <c16:uniqueId val="{00000000-4090-475B-838D-789D216E99F7}"/>
            </c:ext>
          </c:extLst>
        </c:ser>
        <c:ser>
          <c:idx val="1"/>
          <c:order val="1"/>
          <c:tx>
            <c:strRef>
              <c:f>'Pivot Table'!$D$22</c:f>
              <c:strCache>
                <c:ptCount val="1"/>
                <c:pt idx="0">
                  <c:v>Average of sleep_hours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Table'!$B$23:$B$25</c:f>
              <c:strCache>
                <c:ptCount val="2"/>
                <c:pt idx="0">
                  <c:v>0</c:v>
                </c:pt>
                <c:pt idx="1">
                  <c:v>1</c:v>
                </c:pt>
              </c:strCache>
            </c:strRef>
          </c:cat>
          <c:val>
            <c:numRef>
              <c:f>'Pivot Table'!$D$23:$D$25</c:f>
              <c:numCache>
                <c:formatCode>General</c:formatCode>
                <c:ptCount val="2"/>
                <c:pt idx="0">
                  <c:v>6.4941830624465373</c:v>
                </c:pt>
                <c:pt idx="1">
                  <c:v>4.7612903225806456</c:v>
                </c:pt>
              </c:numCache>
            </c:numRef>
          </c:val>
          <c:extLst>
            <c:ext xmlns:c16="http://schemas.microsoft.com/office/drawing/2014/chart" uri="{C3380CC4-5D6E-409C-BE32-E72D297353CC}">
              <c16:uniqueId val="{00000001-4090-475B-838D-789D216E99F7}"/>
            </c:ext>
          </c:extLst>
        </c:ser>
        <c:dLbls>
          <c:showLegendKey val="0"/>
          <c:showVal val="0"/>
          <c:showCatName val="0"/>
          <c:showSerName val="0"/>
          <c:showPercent val="0"/>
          <c:showBubbleSize val="0"/>
        </c:dLbls>
        <c:gapWidth val="100"/>
        <c:overlap val="-24"/>
        <c:axId val="682820952"/>
        <c:axId val="682822032"/>
      </c:barChart>
      <c:catAx>
        <c:axId val="682820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2822032"/>
        <c:crosses val="autoZero"/>
        <c:auto val="1"/>
        <c:lblAlgn val="ctr"/>
        <c:lblOffset val="100"/>
        <c:noMultiLvlLbl val="0"/>
      </c:catAx>
      <c:valAx>
        <c:axId val="6828220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2820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[Teen_Mental_Health_Dataset_Thufaylah.xlsx]Pivot Table!PivotTable12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Depresi Per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solidFill>
            <a:srgbClr val="FF6699"/>
          </a:soli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6699"/>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6699"/>
          </a:soli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6699"/>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 Table'!$C$129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66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F7C-49FD-8675-9177BB785ECC}"/>
              </c:ext>
            </c:extLst>
          </c:dPt>
          <c:cat>
            <c:strRef>
              <c:f>'Pivot Table'!$B$130:$B$132</c:f>
              <c:strCache>
                <c:ptCount val="2"/>
                <c:pt idx="0">
                  <c:v>female</c:v>
                </c:pt>
                <c:pt idx="1">
                  <c:v>male</c:v>
                </c:pt>
              </c:strCache>
            </c:strRef>
          </c:cat>
          <c:val>
            <c:numRef>
              <c:f>'Pivot Table'!$C$130:$C$132</c:f>
              <c:numCache>
                <c:formatCode>General</c:formatCode>
                <c:ptCount val="2"/>
                <c:pt idx="0">
                  <c:v>17</c:v>
                </c:pt>
                <c:pt idx="1">
                  <c:v>14</c:v>
                </c:pt>
              </c:numCache>
            </c:numRef>
          </c:val>
          <c:extLst>
            <c:ext xmlns:c16="http://schemas.microsoft.com/office/drawing/2014/chart" uri="{C3380CC4-5D6E-409C-BE32-E72D297353CC}">
              <c16:uniqueId val="{00000002-0F7C-49FD-8675-9177BB785ECC}"/>
            </c:ext>
          </c:extLst>
        </c:ser>
        <c:dLbls>
          <c:showLegendKey val="0"/>
          <c:showVal val="0"/>
          <c:showCatName val="0"/>
          <c:showSerName val="0"/>
          <c:showPercent val="0"/>
          <c:showBubbleSize val="0"/>
        </c:dLbls>
        <c:gapWidth val="115"/>
        <c:overlap val="-20"/>
        <c:axId val="684144944"/>
        <c:axId val="684143864"/>
      </c:barChart>
      <c:catAx>
        <c:axId val="6841449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4143864"/>
        <c:crosses val="autoZero"/>
        <c:auto val="1"/>
        <c:lblAlgn val="ctr"/>
        <c:lblOffset val="100"/>
        <c:noMultiLvlLbl val="0"/>
      </c:catAx>
      <c:valAx>
        <c:axId val="6841438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414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[Teen_Mental_Health_Dataset_Thufaylah.xlsx]Pivot Table!PivotTable2</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Pengguna Platform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ivotFmts>
      <c:pivotFmt>
        <c:idx val="0"/>
        <c:spPr>
          <a:solidFill>
            <a:schemeClr val="accent5">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7150" dist="19050" dir="5400000" algn="ctr" rotWithShape="0">
              <a:srgbClr val="000000">
                <a:alpha val="63000"/>
              </a:srgbClr>
            </a:outerShdw>
          </a:effectLst>
        </c:spPr>
      </c:pivotFmt>
      <c:pivotFmt>
        <c:idx val="2"/>
        <c:spPr>
          <a:solidFill>
            <a:schemeClr val="bg2">
              <a:lumMod val="75000"/>
            </a:schemeClr>
          </a:solidFill>
          <a:ln>
            <a:noFill/>
          </a:ln>
          <a:effectLst>
            <a:outerShdw blurRad="57150" dist="19050" dir="5400000" algn="ctr" rotWithShape="0">
              <a:srgbClr val="000000">
                <a:alpha val="63000"/>
              </a:srgbClr>
            </a:outerShdw>
          </a:effectLst>
        </c:spPr>
      </c:pivotFmt>
      <c:pivotFmt>
        <c:idx val="3"/>
        <c:spPr>
          <a:solidFill>
            <a:schemeClr val="accent5">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7150" dist="19050" dir="5400000" algn="ctr" rotWithShape="0">
              <a:srgbClr val="000000">
                <a:alpha val="63000"/>
              </a:srgbClr>
            </a:outerShdw>
          </a:effectLst>
        </c:spPr>
      </c:pivotFmt>
      <c:pivotFmt>
        <c:idx val="5"/>
        <c:spPr>
          <a:solidFill>
            <a:schemeClr val="bg2">
              <a:lumMod val="75000"/>
            </a:schemeClr>
          </a:solidFill>
          <a:ln>
            <a:noFill/>
          </a:ln>
          <a:effectLst>
            <a:outerShdw blurRad="57150" dist="19050" dir="5400000" algn="ctr" rotWithShape="0">
              <a:srgbClr val="000000">
                <a:alpha val="63000"/>
              </a:srgbClr>
            </a:outerShdw>
          </a:effectLst>
        </c:spPr>
      </c:pivotFmt>
      <c:pivotFmt>
        <c:idx val="6"/>
        <c:spPr>
          <a:solidFill>
            <a:schemeClr val="accent5">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57150" dist="19050" dir="5400000" algn="ctr" rotWithShape="0">
              <a:srgbClr val="000000">
                <a:alpha val="63000"/>
              </a:srgbClr>
            </a:outerShdw>
          </a:effectLst>
        </c:spPr>
      </c:pivotFmt>
      <c:pivotFmt>
        <c:idx val="8"/>
        <c:spPr>
          <a:solidFill>
            <a:schemeClr val="bg2">
              <a:lumMod val="75000"/>
            </a:schemeClr>
          </a:solidFill>
          <a:ln>
            <a:noFill/>
          </a:ln>
          <a:effectLst>
            <a:outerShdw blurRad="57150" dist="19050" dir="5400000" algn="ctr" rotWithShape="0">
              <a:srgbClr val="000000">
                <a:alpha val="63000"/>
              </a:srgbClr>
            </a:outerShdw>
          </a:effectLst>
        </c:spPr>
      </c:pivotFmt>
      <c:pivotFmt>
        <c:idx val="9"/>
        <c:spPr>
          <a:solidFill>
            <a:schemeClr val="accent5">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57150" dist="19050" dir="5400000" algn="ctr" rotWithShape="0">
              <a:srgbClr val="000000">
                <a:alpha val="63000"/>
              </a:srgbClr>
            </a:outerShdw>
          </a:effectLst>
        </c:spPr>
      </c:pivotFmt>
      <c:pivotFmt>
        <c:idx val="11"/>
        <c:spPr>
          <a:solidFill>
            <a:schemeClr val="bg2">
              <a:lumMod val="75000"/>
            </a:schemeClr>
          </a:solidFill>
          <a:ln>
            <a:noFill/>
          </a:ln>
          <a:effectLst>
            <a:outerShdw blurRad="57150" dist="19050" dir="5400000" algn="ctr" rotWithShape="0">
              <a:srgbClr val="000000">
                <a:alpha val="63000"/>
              </a:srgbClr>
            </a:outerShdw>
          </a:effectLst>
        </c:spPr>
      </c:pivotFmt>
      <c:pivotFmt>
        <c:idx val="12"/>
        <c:spPr>
          <a:solidFill>
            <a:schemeClr val="accent5">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57150" dist="19050" dir="5400000" algn="ctr" rotWithShape="0">
              <a:srgbClr val="000000">
                <a:alpha val="63000"/>
              </a:srgbClr>
            </a:outerShdw>
          </a:effectLst>
        </c:spPr>
      </c:pivotFmt>
      <c:pivotFmt>
        <c:idx val="14"/>
        <c:spPr>
          <a:solidFill>
            <a:schemeClr val="bg2">
              <a:lumMod val="75000"/>
            </a:schemeClr>
          </a:solidFill>
          <a:ln>
            <a:noFill/>
          </a:ln>
          <a:effectLst>
            <a:outerShdw blurRad="57150" dist="19050" dir="5400000" algn="ctr" rotWithShape="0">
              <a:srgbClr val="000000">
                <a:alpha val="63000"/>
              </a:srgbClr>
            </a:outerShdw>
          </a:effectLst>
        </c:spPr>
      </c:pivotFmt>
      <c:pivotFmt>
        <c:idx val="15"/>
        <c:spPr>
          <a:solidFill>
            <a:schemeClr val="accent5">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id-ID"/>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57150" dist="19050" dir="5400000" algn="ctr" rotWithShape="0">
              <a:srgbClr val="000000">
                <a:alpha val="63000"/>
              </a:srgbClr>
            </a:outerShdw>
          </a:effectLst>
        </c:spPr>
      </c:pivotFmt>
      <c:pivotFmt>
        <c:idx val="17"/>
        <c:spPr>
          <a:solidFill>
            <a:schemeClr val="bg2">
              <a:lumMod val="75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Table'!$C$9</c:f>
              <c:strCache>
                <c:ptCount val="1"/>
                <c:pt idx="0">
                  <c:v>Total</c:v>
                </c:pt>
              </c:strCache>
            </c:strRef>
          </c:tx>
          <c:spPr>
            <a:solidFill>
              <a:schemeClr val="accent5">
                <a:lumMod val="40000"/>
                <a:lumOff val="6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B89-4341-840E-A1B1EBD9905A}"/>
              </c:ext>
            </c:extLst>
          </c:dPt>
          <c:dPt>
            <c:idx val="2"/>
            <c:invertIfNegative val="0"/>
            <c:bubble3D val="0"/>
            <c:spPr>
              <a:solidFill>
                <a:schemeClr val="bg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B89-4341-840E-A1B1EBD9905A}"/>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id-ID"/>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Table'!$B$10:$B$13</c:f>
              <c:strCache>
                <c:ptCount val="3"/>
                <c:pt idx="0">
                  <c:v>Both</c:v>
                </c:pt>
                <c:pt idx="1">
                  <c:v>Instagram</c:v>
                </c:pt>
                <c:pt idx="2">
                  <c:v>TikTok</c:v>
                </c:pt>
              </c:strCache>
            </c:strRef>
          </c:cat>
          <c:val>
            <c:numRef>
              <c:f>'Pivot Table'!$C$10:$C$13</c:f>
              <c:numCache>
                <c:formatCode>General</c:formatCode>
                <c:ptCount val="3"/>
                <c:pt idx="0">
                  <c:v>391</c:v>
                </c:pt>
                <c:pt idx="1">
                  <c:v>411</c:v>
                </c:pt>
                <c:pt idx="2">
                  <c:v>398</c:v>
                </c:pt>
              </c:numCache>
            </c:numRef>
          </c:val>
          <c:extLst>
            <c:ext xmlns:c16="http://schemas.microsoft.com/office/drawing/2014/chart" uri="{C3380CC4-5D6E-409C-BE32-E72D297353CC}">
              <c16:uniqueId val="{00000004-1B89-4341-840E-A1B1EBD9905A}"/>
            </c:ext>
          </c:extLst>
        </c:ser>
        <c:dLbls>
          <c:dLblPos val="outEnd"/>
          <c:showLegendKey val="0"/>
          <c:showVal val="1"/>
          <c:showCatName val="0"/>
          <c:showSerName val="0"/>
          <c:showPercent val="0"/>
          <c:showBubbleSize val="0"/>
        </c:dLbls>
        <c:gapWidth val="100"/>
        <c:overlap val="-24"/>
        <c:axId val="682815552"/>
        <c:axId val="682816272"/>
      </c:barChart>
      <c:catAx>
        <c:axId val="68281555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2816272"/>
        <c:crosses val="autoZero"/>
        <c:auto val="1"/>
        <c:lblAlgn val="ctr"/>
        <c:lblOffset val="100"/>
        <c:noMultiLvlLbl val="0"/>
      </c:catAx>
      <c:valAx>
        <c:axId val="6828162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281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[Teen_Mental_Health_Dataset_Thufaylah.xlsx]Pivot Table!PivotTable13</c:name>
    <c:fmtId val="26"/>
  </c:pivotSource>
  <c:chart>
    <c:title>
      <c:tx>
        <c:rich>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Rata-rata Jam Medsos dan Jam Tidur Depresi</a:t>
            </a:r>
          </a:p>
        </c:rich>
      </c:tx>
      <c:overlay val="0"/>
      <c:spPr>
        <a:noFill/>
        <a:ln>
          <a:noFill/>
        </a:ln>
        <a:effectLst/>
      </c:spPr>
      <c:txPr>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id-ID"/>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lumMod val="85000"/>
                    </a:schemeClr>
                  </a:solidFill>
                  <a:latin typeface="+mn-lt"/>
                  <a:ea typeface="+mn-ea"/>
                  <a:cs typeface="+mn-cs"/>
                </a:defRPr>
              </a:pPr>
              <a:endParaRPr lang="id-ID"/>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Table'!$C$22</c:f>
              <c:strCache>
                <c:ptCount val="1"/>
                <c:pt idx="0">
                  <c:v>Average of daily_social_media_hours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id-ID"/>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Table'!$B$23:$B$25</c:f>
              <c:strCache>
                <c:ptCount val="2"/>
                <c:pt idx="0">
                  <c:v>0</c:v>
                </c:pt>
                <c:pt idx="1">
                  <c:v>1</c:v>
                </c:pt>
              </c:strCache>
            </c:strRef>
          </c:cat>
          <c:val>
            <c:numRef>
              <c:f>'Pivot Table'!$C$23:$C$25</c:f>
              <c:numCache>
                <c:formatCode>General</c:formatCode>
                <c:ptCount val="2"/>
                <c:pt idx="0">
                  <c:v>4.4787852865697237</c:v>
                </c:pt>
                <c:pt idx="1">
                  <c:v>6.7193548387096804</c:v>
                </c:pt>
              </c:numCache>
            </c:numRef>
          </c:val>
          <c:extLst>
            <c:ext xmlns:c16="http://schemas.microsoft.com/office/drawing/2014/chart" uri="{C3380CC4-5D6E-409C-BE32-E72D297353CC}">
              <c16:uniqueId val="{00000000-7985-4245-BABD-647F4C7A389C}"/>
            </c:ext>
          </c:extLst>
        </c:ser>
        <c:ser>
          <c:idx val="1"/>
          <c:order val="1"/>
          <c:tx>
            <c:strRef>
              <c:f>'Pivot Table'!$D$22</c:f>
              <c:strCache>
                <c:ptCount val="1"/>
                <c:pt idx="0">
                  <c:v>Average of sleep_hours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lumMod val="85000"/>
                      </a:schemeClr>
                    </a:solidFill>
                    <a:latin typeface="+mn-lt"/>
                    <a:ea typeface="+mn-ea"/>
                    <a:cs typeface="+mn-cs"/>
                  </a:defRPr>
                </a:pPr>
                <a:endParaRPr lang="id-ID"/>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Table'!$B$23:$B$25</c:f>
              <c:strCache>
                <c:ptCount val="2"/>
                <c:pt idx="0">
                  <c:v>0</c:v>
                </c:pt>
                <c:pt idx="1">
                  <c:v>1</c:v>
                </c:pt>
              </c:strCache>
            </c:strRef>
          </c:cat>
          <c:val>
            <c:numRef>
              <c:f>'Pivot Table'!$D$23:$D$25</c:f>
              <c:numCache>
                <c:formatCode>General</c:formatCode>
                <c:ptCount val="2"/>
                <c:pt idx="0">
                  <c:v>6.4941830624465373</c:v>
                </c:pt>
                <c:pt idx="1">
                  <c:v>4.7612903225806456</c:v>
                </c:pt>
              </c:numCache>
            </c:numRef>
          </c:val>
          <c:extLst>
            <c:ext xmlns:c16="http://schemas.microsoft.com/office/drawing/2014/chart" uri="{C3380CC4-5D6E-409C-BE32-E72D297353CC}">
              <c16:uniqueId val="{00000001-7985-4245-BABD-647F4C7A389C}"/>
            </c:ext>
          </c:extLst>
        </c:ser>
        <c:dLbls>
          <c:dLblPos val="inEnd"/>
          <c:showLegendKey val="0"/>
          <c:showVal val="1"/>
          <c:showCatName val="0"/>
          <c:showSerName val="0"/>
          <c:showPercent val="0"/>
          <c:showBubbleSize val="0"/>
        </c:dLbls>
        <c:gapWidth val="100"/>
        <c:overlap val="-24"/>
        <c:axId val="682820952"/>
        <c:axId val="682822032"/>
      </c:barChart>
      <c:catAx>
        <c:axId val="682820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2822032"/>
        <c:crosses val="autoZero"/>
        <c:auto val="1"/>
        <c:lblAlgn val="ctr"/>
        <c:lblOffset val="100"/>
        <c:noMultiLvlLbl val="0"/>
      </c:catAx>
      <c:valAx>
        <c:axId val="6828220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2820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d-ID" sz="2000" b="0" i="0" u="none" strike="noStrike" baseline="0">
                <a:effectLst/>
              </a:rPr>
              <a:t>Depresi Kelompok Jam Tidur</a:t>
            </a:r>
            <a:r>
              <a:rPr lang="id-ID" sz="2000" b="1" i="0" u="none" strike="noStrike" baseline="0">
                <a:effectLst/>
              </a:rPr>
              <a:t> </a:t>
            </a:r>
            <a:endParaRPr lang="id-ID" sz="2000"/>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lotArea>
      <c:layout/>
      <c:barChart>
        <c:barDir val="col"/>
        <c:grouping val="clustered"/>
        <c:varyColors val="0"/>
        <c:ser>
          <c:idx val="0"/>
          <c:order val="0"/>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id-ID"/>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Table'!$M$42:$M$43</c:f>
              <c:strCache>
                <c:ptCount val="2"/>
                <c:pt idx="0">
                  <c:v>&lt; 7 Jam</c:v>
                </c:pt>
                <c:pt idx="1">
                  <c:v>7 - 9 Jam</c:v>
                </c:pt>
              </c:strCache>
            </c:strRef>
          </c:cat>
          <c:val>
            <c:numRef>
              <c:f>'Pivot Table'!$N$42:$N$43</c:f>
              <c:numCache>
                <c:formatCode>General</c:formatCode>
                <c:ptCount val="2"/>
                <c:pt idx="0">
                  <c:v>16</c:v>
                </c:pt>
                <c:pt idx="1">
                  <c:v>15</c:v>
                </c:pt>
              </c:numCache>
            </c:numRef>
          </c:val>
          <c:extLst>
            <c:ext xmlns:c16="http://schemas.microsoft.com/office/drawing/2014/chart" uri="{C3380CC4-5D6E-409C-BE32-E72D297353CC}">
              <c16:uniqueId val="{00000000-4722-44AB-B830-4B4A74886946}"/>
            </c:ext>
          </c:extLst>
        </c:ser>
        <c:dLbls>
          <c:dLblPos val="inEnd"/>
          <c:showLegendKey val="0"/>
          <c:showVal val="1"/>
          <c:showCatName val="0"/>
          <c:showSerName val="0"/>
          <c:showPercent val="0"/>
          <c:showBubbleSize val="0"/>
        </c:dLbls>
        <c:gapWidth val="100"/>
        <c:overlap val="-24"/>
        <c:axId val="684170864"/>
        <c:axId val="684167624"/>
      </c:barChart>
      <c:catAx>
        <c:axId val="6841708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4167624"/>
        <c:crosses val="autoZero"/>
        <c:auto val="1"/>
        <c:lblAlgn val="ctr"/>
        <c:lblOffset val="100"/>
        <c:noMultiLvlLbl val="0"/>
      </c:catAx>
      <c:valAx>
        <c:axId val="684167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417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[Teen_Mental_Health_Dataset_Thufaylah.xlsx]Pivot Table!PivotTable12</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Depresi Per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solidFill>
            <a:srgbClr val="FF6699"/>
          </a:soli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6699"/>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6699"/>
          </a:soli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6699"/>
          </a:soli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6699"/>
          </a:soli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id-ID"/>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6699"/>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 Table'!$C$129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66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15D-479E-831B-53BF9005BAD8}"/>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lumMod val="85000"/>
                      </a:schemeClr>
                    </a:solidFill>
                    <a:latin typeface="+mn-lt"/>
                    <a:ea typeface="+mn-ea"/>
                    <a:cs typeface="+mn-cs"/>
                  </a:defRPr>
                </a:pPr>
                <a:endParaRPr lang="id-ID"/>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Table'!$B$130:$B$132</c:f>
              <c:strCache>
                <c:ptCount val="2"/>
                <c:pt idx="0">
                  <c:v>female</c:v>
                </c:pt>
                <c:pt idx="1">
                  <c:v>male</c:v>
                </c:pt>
              </c:strCache>
            </c:strRef>
          </c:cat>
          <c:val>
            <c:numRef>
              <c:f>'Pivot Table'!$C$130:$C$132</c:f>
              <c:numCache>
                <c:formatCode>General</c:formatCode>
                <c:ptCount val="2"/>
                <c:pt idx="0">
                  <c:v>17</c:v>
                </c:pt>
                <c:pt idx="1">
                  <c:v>14</c:v>
                </c:pt>
              </c:numCache>
            </c:numRef>
          </c:val>
          <c:extLst>
            <c:ext xmlns:c16="http://schemas.microsoft.com/office/drawing/2014/chart" uri="{C3380CC4-5D6E-409C-BE32-E72D297353CC}">
              <c16:uniqueId val="{00000002-515D-479E-831B-53BF9005BAD8}"/>
            </c:ext>
          </c:extLst>
        </c:ser>
        <c:dLbls>
          <c:dLblPos val="outEnd"/>
          <c:showLegendKey val="0"/>
          <c:showVal val="1"/>
          <c:showCatName val="0"/>
          <c:showSerName val="0"/>
          <c:showPercent val="0"/>
          <c:showBubbleSize val="0"/>
        </c:dLbls>
        <c:gapWidth val="115"/>
        <c:overlap val="-20"/>
        <c:axId val="684144944"/>
        <c:axId val="684143864"/>
      </c:barChart>
      <c:catAx>
        <c:axId val="6841449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4143864"/>
        <c:crosses val="autoZero"/>
        <c:auto val="1"/>
        <c:lblAlgn val="ctr"/>
        <c:lblOffset val="100"/>
        <c:noMultiLvlLbl val="0"/>
      </c:catAx>
      <c:valAx>
        <c:axId val="6841438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8414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d-ID" sz="2000"/>
              <a:t>Depresi Kelompok Jam Medsos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lotArea>
      <c:layout/>
      <c:barChart>
        <c:barDir val="col"/>
        <c:grouping val="clustered"/>
        <c:varyColors val="0"/>
        <c:ser>
          <c:idx val="0"/>
          <c:order val="0"/>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id-ID"/>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Table'!$B$43:$B$44</c:f>
              <c:strCache>
                <c:ptCount val="2"/>
                <c:pt idx="0">
                  <c:v>&lt;5 Jam</c:v>
                </c:pt>
                <c:pt idx="1">
                  <c:v>5 - 9 Jam</c:v>
                </c:pt>
              </c:strCache>
            </c:strRef>
          </c:cat>
          <c:val>
            <c:numRef>
              <c:f>'Pivot Table'!$C$43:$C$44</c:f>
              <c:numCache>
                <c:formatCode>General</c:formatCode>
                <c:ptCount val="2"/>
                <c:pt idx="0">
                  <c:v>22</c:v>
                </c:pt>
                <c:pt idx="1">
                  <c:v>9</c:v>
                </c:pt>
              </c:numCache>
            </c:numRef>
          </c:val>
          <c:extLst>
            <c:ext xmlns:c16="http://schemas.microsoft.com/office/drawing/2014/chart" uri="{C3380CC4-5D6E-409C-BE32-E72D297353CC}">
              <c16:uniqueId val="{00000000-1F0A-4E78-8F48-36D87ED56201}"/>
            </c:ext>
          </c:extLst>
        </c:ser>
        <c:dLbls>
          <c:dLblPos val="inEnd"/>
          <c:showLegendKey val="0"/>
          <c:showVal val="1"/>
          <c:showCatName val="0"/>
          <c:showSerName val="0"/>
          <c:showPercent val="0"/>
          <c:showBubbleSize val="0"/>
        </c:dLbls>
        <c:gapWidth val="100"/>
        <c:overlap val="-24"/>
        <c:axId val="663976336"/>
        <c:axId val="663972376"/>
      </c:barChart>
      <c:catAx>
        <c:axId val="663976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63972376"/>
        <c:crosses val="autoZero"/>
        <c:auto val="1"/>
        <c:lblAlgn val="ctr"/>
        <c:lblOffset val="100"/>
        <c:noMultiLvlLbl val="0"/>
      </c:catAx>
      <c:valAx>
        <c:axId val="663972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66397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[Teen_Mental_Health_Dataset_Thufaylah.xlsx]Pivot Table!PivotTable9</c:name>
    <c:fmtId val="4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d-ID" sz="2000"/>
              <a:t>Rata-rata Indikator Mental Per Usia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Table'!$C$97</c:f>
              <c:strCache>
                <c:ptCount val="1"/>
                <c:pt idx="0">
                  <c:v>Average of addiction_level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Table'!$B$98:$B$105</c:f>
              <c:strCache>
                <c:ptCount val="7"/>
                <c:pt idx="0">
                  <c:v>13</c:v>
                </c:pt>
                <c:pt idx="1">
                  <c:v>14</c:v>
                </c:pt>
                <c:pt idx="2">
                  <c:v>15</c:v>
                </c:pt>
                <c:pt idx="3">
                  <c:v>16</c:v>
                </c:pt>
                <c:pt idx="4">
                  <c:v>17</c:v>
                </c:pt>
                <c:pt idx="5">
                  <c:v>18</c:v>
                </c:pt>
                <c:pt idx="6">
                  <c:v>19</c:v>
                </c:pt>
              </c:strCache>
            </c:strRef>
          </c:cat>
          <c:val>
            <c:numRef>
              <c:f>'Pivot Table'!$C$98:$C$105</c:f>
              <c:numCache>
                <c:formatCode>General</c:formatCode>
                <c:ptCount val="7"/>
                <c:pt idx="0">
                  <c:v>5.7450000000000001</c:v>
                </c:pt>
                <c:pt idx="1">
                  <c:v>5.2026143790849675</c:v>
                </c:pt>
                <c:pt idx="2">
                  <c:v>5.2833333333333332</c:v>
                </c:pt>
                <c:pt idx="3">
                  <c:v>5.4110429447852759</c:v>
                </c:pt>
                <c:pt idx="4">
                  <c:v>5.7823529411764705</c:v>
                </c:pt>
                <c:pt idx="5">
                  <c:v>5.5813953488372094</c:v>
                </c:pt>
                <c:pt idx="6">
                  <c:v>5.9074074074074074</c:v>
                </c:pt>
              </c:numCache>
            </c:numRef>
          </c:val>
          <c:smooth val="0"/>
          <c:extLst>
            <c:ext xmlns:c16="http://schemas.microsoft.com/office/drawing/2014/chart" uri="{C3380CC4-5D6E-409C-BE32-E72D297353CC}">
              <c16:uniqueId val="{00000000-2A2F-4733-A802-638A55B8320B}"/>
            </c:ext>
          </c:extLst>
        </c:ser>
        <c:ser>
          <c:idx val="1"/>
          <c:order val="1"/>
          <c:tx>
            <c:strRef>
              <c:f>'Pivot Table'!$D$97</c:f>
              <c:strCache>
                <c:ptCount val="1"/>
                <c:pt idx="0">
                  <c:v>Average of anxiety_level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Table'!$B$98:$B$105</c:f>
              <c:strCache>
                <c:ptCount val="7"/>
                <c:pt idx="0">
                  <c:v>13</c:v>
                </c:pt>
                <c:pt idx="1">
                  <c:v>14</c:v>
                </c:pt>
                <c:pt idx="2">
                  <c:v>15</c:v>
                </c:pt>
                <c:pt idx="3">
                  <c:v>16</c:v>
                </c:pt>
                <c:pt idx="4">
                  <c:v>17</c:v>
                </c:pt>
                <c:pt idx="5">
                  <c:v>18</c:v>
                </c:pt>
                <c:pt idx="6">
                  <c:v>19</c:v>
                </c:pt>
              </c:strCache>
            </c:strRef>
          </c:cat>
          <c:val>
            <c:numRef>
              <c:f>'Pivot Table'!$D$98:$D$105</c:f>
              <c:numCache>
                <c:formatCode>General</c:formatCode>
                <c:ptCount val="7"/>
                <c:pt idx="0">
                  <c:v>5.5549999999999997</c:v>
                </c:pt>
                <c:pt idx="1">
                  <c:v>5.333333333333333</c:v>
                </c:pt>
                <c:pt idx="2">
                  <c:v>5.916666666666667</c:v>
                </c:pt>
                <c:pt idx="3">
                  <c:v>5.6441717791411046</c:v>
                </c:pt>
                <c:pt idx="4">
                  <c:v>5.5764705882352938</c:v>
                </c:pt>
                <c:pt idx="5">
                  <c:v>5.4186046511627906</c:v>
                </c:pt>
                <c:pt idx="6">
                  <c:v>6</c:v>
                </c:pt>
              </c:numCache>
            </c:numRef>
          </c:val>
          <c:smooth val="0"/>
          <c:extLst>
            <c:ext xmlns:c16="http://schemas.microsoft.com/office/drawing/2014/chart" uri="{C3380CC4-5D6E-409C-BE32-E72D297353CC}">
              <c16:uniqueId val="{00000001-2A2F-4733-A802-638A55B8320B}"/>
            </c:ext>
          </c:extLst>
        </c:ser>
        <c:ser>
          <c:idx val="2"/>
          <c:order val="2"/>
          <c:tx>
            <c:strRef>
              <c:f>'Pivot Table'!$E$97</c:f>
              <c:strCache>
                <c:ptCount val="1"/>
                <c:pt idx="0">
                  <c:v>Average of stress_level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Table'!$B$98:$B$105</c:f>
              <c:strCache>
                <c:ptCount val="7"/>
                <c:pt idx="0">
                  <c:v>13</c:v>
                </c:pt>
                <c:pt idx="1">
                  <c:v>14</c:v>
                </c:pt>
                <c:pt idx="2">
                  <c:v>15</c:v>
                </c:pt>
                <c:pt idx="3">
                  <c:v>16</c:v>
                </c:pt>
                <c:pt idx="4">
                  <c:v>17</c:v>
                </c:pt>
                <c:pt idx="5">
                  <c:v>18</c:v>
                </c:pt>
                <c:pt idx="6">
                  <c:v>19</c:v>
                </c:pt>
              </c:strCache>
            </c:strRef>
          </c:cat>
          <c:val>
            <c:numRef>
              <c:f>'Pivot Table'!$E$98:$E$105</c:f>
              <c:numCache>
                <c:formatCode>General</c:formatCode>
                <c:ptCount val="7"/>
                <c:pt idx="0">
                  <c:v>5.46</c:v>
                </c:pt>
                <c:pt idx="1">
                  <c:v>6.1764705882352944</c:v>
                </c:pt>
                <c:pt idx="2">
                  <c:v>5.1333333333333337</c:v>
                </c:pt>
                <c:pt idx="3">
                  <c:v>5.4539877300613497</c:v>
                </c:pt>
                <c:pt idx="4">
                  <c:v>5.1705882352941179</c:v>
                </c:pt>
                <c:pt idx="5">
                  <c:v>5.2034883720930232</c:v>
                </c:pt>
                <c:pt idx="6">
                  <c:v>5.6234567901234565</c:v>
                </c:pt>
              </c:numCache>
            </c:numRef>
          </c:val>
          <c:smooth val="0"/>
          <c:extLst>
            <c:ext xmlns:c16="http://schemas.microsoft.com/office/drawing/2014/chart" uri="{C3380CC4-5D6E-409C-BE32-E72D297353CC}">
              <c16:uniqueId val="{00000002-2A2F-4733-A802-638A55B8320B}"/>
            </c:ext>
          </c:extLst>
        </c:ser>
        <c:dLbls>
          <c:showLegendKey val="0"/>
          <c:showVal val="0"/>
          <c:showCatName val="0"/>
          <c:showSerName val="0"/>
          <c:showPercent val="0"/>
          <c:showBubbleSize val="0"/>
        </c:dLbls>
        <c:marker val="1"/>
        <c:smooth val="0"/>
        <c:axId val="436626080"/>
        <c:axId val="436626440"/>
      </c:lineChart>
      <c:catAx>
        <c:axId val="4366260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Umur</a:t>
                </a:r>
                <a:endParaRPr lang="id-ID"/>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id-ID"/>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436626440"/>
        <c:crosses val="autoZero"/>
        <c:auto val="1"/>
        <c:lblAlgn val="ctr"/>
        <c:lblOffset val="100"/>
        <c:noMultiLvlLbl val="0"/>
      </c:catAx>
      <c:valAx>
        <c:axId val="436626440"/>
        <c:scaling>
          <c:orientation val="minMax"/>
          <c:max val="7"/>
          <c:min val="4.5"/>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Level</a:t>
                </a:r>
                <a:endParaRPr lang="id-ID"/>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id-ID"/>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d-ID"/>
          </a:p>
        </c:txPr>
        <c:crossAx val="436626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[Teen_Mental_Health_Dataset_Thufaylah.xlsx]Pivot Table!PivotTable1</c:name>
    <c:fmtId val="28"/>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Distribusi</a:t>
            </a:r>
            <a:r>
              <a:rPr lang="en-US" sz="2000" baseline="0"/>
              <a:t> Gender</a:t>
            </a:r>
            <a:endParaRPr lang="en-US" sz="2000"/>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7150" dist="19050" dir="5400000" algn="ctr" rotWithShape="0">
              <a:srgbClr val="000000">
                <a:alpha val="63000"/>
              </a:srgbClr>
            </a:outerShdw>
          </a:effectLst>
        </c:spPr>
      </c:pivotFmt>
      <c:pivotFmt>
        <c:idx val="2"/>
        <c:spPr>
          <a:solidFill>
            <a:srgbClr val="FF6699"/>
          </a:soli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rgbClr val="FF6699"/>
          </a:solidFill>
          <a:ln>
            <a:noFill/>
          </a:ln>
          <a:effectLst>
            <a:outerShdw blurRad="57150" dist="19050" dir="5400000" algn="ctr" rotWithShape="0">
              <a:srgbClr val="000000">
                <a:alpha val="63000"/>
              </a:srgbClr>
            </a:outerShdw>
          </a:effectLst>
        </c:spPr>
      </c:pivotFmt>
      <c:pivotFmt>
        <c:idx val="5"/>
        <c:spPr>
          <a:solidFill>
            <a:schemeClr val="accent1"/>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FF6699"/>
          </a:solidFill>
          <a:ln>
            <a:noFill/>
          </a:ln>
          <a:effectLst>
            <a:outerShdw blurRad="57150" dist="19050" dir="5400000" algn="ctr" rotWithShape="0">
              <a:srgbClr val="000000">
                <a:alpha val="63000"/>
              </a:srgbClr>
            </a:outerShdw>
          </a:effectLst>
        </c:spPr>
      </c:pivotFmt>
      <c:pivotFmt>
        <c:idx val="8"/>
        <c:spPr>
          <a:solidFill>
            <a:schemeClr val="accent1"/>
          </a:soli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FF6699"/>
          </a:solidFill>
          <a:ln>
            <a:noFill/>
          </a:ln>
          <a:effectLst>
            <a:outerShdw blurRad="57150" dist="19050" dir="5400000" algn="ctr" rotWithShape="0">
              <a:srgbClr val="000000">
                <a:alpha val="63000"/>
              </a:srgbClr>
            </a:outerShdw>
          </a:effectLst>
        </c:spPr>
      </c:pivotFmt>
      <c:pivotFmt>
        <c:idx val="11"/>
        <c:spPr>
          <a:solidFill>
            <a:schemeClr val="accent1"/>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FF6699"/>
          </a:solidFill>
          <a:ln>
            <a:noFill/>
          </a:ln>
          <a:effectLst>
            <a:outerShdw blurRad="57150" dist="19050" dir="5400000" algn="ctr" rotWithShape="0">
              <a:srgbClr val="000000">
                <a:alpha val="63000"/>
              </a:srgbClr>
            </a:outerShdw>
          </a:effectLst>
        </c:spPr>
      </c:pivotFmt>
      <c:pivotFmt>
        <c:idx val="14"/>
        <c:spPr>
          <a:solidFill>
            <a:schemeClr val="accent1"/>
          </a:soli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rgbClr val="FF6699"/>
          </a:solidFill>
          <a:ln>
            <a:noFill/>
          </a:ln>
          <a:effectLst>
            <a:outerShdw blurRad="57150" dist="19050" dir="5400000" algn="ctr" rotWithShape="0">
              <a:srgbClr val="000000">
                <a:alpha val="63000"/>
              </a:srgbClr>
            </a:outerShdw>
          </a:effectLst>
        </c:spPr>
      </c:pivotFmt>
      <c:pivotFmt>
        <c:idx val="17"/>
        <c:spPr>
          <a:solidFill>
            <a:schemeClr val="accent1"/>
          </a:soli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id-ID"/>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9"/>
        <c:spPr>
          <a:solidFill>
            <a:srgbClr val="FF6699"/>
          </a:solidFill>
          <a:ln>
            <a:noFill/>
          </a:ln>
          <a:effectLst>
            <a:outerShdw blurRad="57150" dist="19050" dir="5400000" algn="ctr" rotWithShape="0">
              <a:srgbClr val="000000">
                <a:alpha val="63000"/>
              </a:srgbClr>
            </a:outerShdw>
          </a:effectLst>
        </c:spPr>
      </c:pivotFmt>
      <c:pivotFmt>
        <c:idx val="20"/>
        <c:spPr>
          <a:solidFill>
            <a:schemeClr val="accent1"/>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Table'!$C$2</c:f>
              <c:strCache>
                <c:ptCount val="1"/>
                <c:pt idx="0">
                  <c:v>Total</c:v>
                </c:pt>
              </c:strCache>
            </c:strRef>
          </c:tx>
          <c:dPt>
            <c:idx val="0"/>
            <c:bubble3D val="0"/>
            <c:spPr>
              <a:solidFill>
                <a:srgbClr val="FF66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1F7-4B91-B5CF-3270197F55E9}"/>
              </c:ext>
            </c:extLst>
          </c:dPt>
          <c:dPt>
            <c:idx val="1"/>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1F7-4B91-B5CF-3270197F55E9}"/>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id-ID"/>
              </a:p>
            </c:txPr>
            <c:dLblPos val="in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Table'!$B$3:$B$5</c:f>
              <c:strCache>
                <c:ptCount val="2"/>
                <c:pt idx="0">
                  <c:v>female</c:v>
                </c:pt>
                <c:pt idx="1">
                  <c:v>male</c:v>
                </c:pt>
              </c:strCache>
            </c:strRef>
          </c:cat>
          <c:val>
            <c:numRef>
              <c:f>'Pivot Table'!$C$3:$C$5</c:f>
              <c:numCache>
                <c:formatCode>General</c:formatCode>
                <c:ptCount val="2"/>
                <c:pt idx="0">
                  <c:v>585</c:v>
                </c:pt>
                <c:pt idx="1">
                  <c:v>615</c:v>
                </c:pt>
              </c:numCache>
            </c:numRef>
          </c:val>
          <c:extLst>
            <c:ext xmlns:c16="http://schemas.microsoft.com/office/drawing/2014/chart" uri="{C3380CC4-5D6E-409C-BE32-E72D297353CC}">
              <c16:uniqueId val="{00000004-31F7-4B91-B5CF-3270197F55E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[Teen_Mental_Health_Dataset_Thufaylah.xlsx]Pivot Table!PivotTable11</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Depresi per Platform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d-ID"/>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a:outerShdw blurRad="57150" dist="19050" dir="5400000" algn="ctr" rotWithShape="0">
              <a:srgbClr val="000000">
                <a:alpha val="63000"/>
              </a:srgbClr>
            </a:outerShdw>
          </a:effectLst>
        </c:spPr>
      </c:pivotFmt>
      <c:pivotFmt>
        <c:idx val="2"/>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3"/>
        <c:spPr>
          <a:solidFill>
            <a:schemeClr val="accent1"/>
          </a:soli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7150" dist="19050" dir="5400000" algn="ctr" rotWithShape="0">
              <a:srgbClr val="000000">
                <a:alpha val="63000"/>
              </a:srgbClr>
            </a:outerShdw>
          </a:effectLst>
        </c:spPr>
      </c:pivotFmt>
      <c:pivotFmt>
        <c:idx val="6"/>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7"/>
        <c:spPr>
          <a:solidFill>
            <a:schemeClr val="bg2">
              <a:lumMod val="75000"/>
            </a:schemeClr>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57150" dist="19050" dir="5400000" algn="ctr" rotWithShape="0">
              <a:srgbClr val="000000">
                <a:alpha val="63000"/>
              </a:srgbClr>
            </a:outerShdw>
          </a:effectLst>
        </c:spPr>
      </c:pivotFmt>
      <c:pivotFmt>
        <c:idx val="10"/>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11"/>
        <c:spPr>
          <a:solidFill>
            <a:schemeClr val="bg2">
              <a:lumMod val="75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57150" dist="19050" dir="5400000" algn="ctr" rotWithShape="0">
              <a:srgbClr val="000000">
                <a:alpha val="63000"/>
              </a:srgbClr>
            </a:outerShdw>
          </a:effectLst>
        </c:spPr>
      </c:pivotFmt>
      <c:pivotFmt>
        <c:idx val="14"/>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15"/>
        <c:spPr>
          <a:solidFill>
            <a:schemeClr val="bg2">
              <a:lumMod val="75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57150" dist="19050" dir="5400000" algn="ctr" rotWithShape="0">
              <a:srgbClr val="000000">
                <a:alpha val="63000"/>
              </a:srgbClr>
            </a:outerShdw>
          </a:effectLst>
        </c:spPr>
      </c:pivotFmt>
      <c:pivotFmt>
        <c:idx val="18"/>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19"/>
        <c:spPr>
          <a:solidFill>
            <a:schemeClr val="bg2">
              <a:lumMod val="75000"/>
            </a:schemeClr>
          </a:soli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57150" dist="19050" dir="5400000" algn="ctr" rotWithShape="0">
              <a:srgbClr val="000000">
                <a:alpha val="63000"/>
              </a:srgbClr>
            </a:outerShdw>
          </a:effectLst>
        </c:spPr>
      </c:pivotFmt>
      <c:pivotFmt>
        <c:idx val="22"/>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23"/>
        <c:spPr>
          <a:solidFill>
            <a:schemeClr val="bg2">
              <a:lumMod val="75000"/>
            </a:schemeClr>
          </a:soli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id-ID"/>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
        <c:idx val="27"/>
        <c:spPr>
          <a:solidFill>
            <a:schemeClr val="bg2">
              <a:lumMod val="75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Table'!$C$121</c:f>
              <c:strCache>
                <c:ptCount val="1"/>
                <c:pt idx="0">
                  <c:v>Total</c:v>
                </c:pt>
              </c:strCache>
            </c:strRef>
          </c:tx>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9E6-42F0-A07A-65CB13BC5070}"/>
              </c:ext>
            </c:extLst>
          </c:dPt>
          <c:dPt>
            <c:idx val="1"/>
            <c:bubble3D val="0"/>
            <c:spPr>
              <a:solidFill>
                <a:schemeClr val="accent5">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9E6-42F0-A07A-65CB13BC5070}"/>
              </c:ext>
            </c:extLst>
          </c:dPt>
          <c:dPt>
            <c:idx val="2"/>
            <c:bubble3D val="0"/>
            <c:spPr>
              <a:solidFill>
                <a:schemeClr val="bg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9E6-42F0-A07A-65CB13BC5070}"/>
              </c:ext>
            </c:extLst>
          </c:dPt>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E6-42F0-A07A-65CB13BC5070}"/>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id-ID"/>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Table'!$B$122:$B$125</c:f>
              <c:strCache>
                <c:ptCount val="3"/>
                <c:pt idx="0">
                  <c:v>Both</c:v>
                </c:pt>
                <c:pt idx="1">
                  <c:v>Instagram</c:v>
                </c:pt>
                <c:pt idx="2">
                  <c:v>TikTok</c:v>
                </c:pt>
              </c:strCache>
            </c:strRef>
          </c:cat>
          <c:val>
            <c:numRef>
              <c:f>'Pivot Table'!$C$122:$C$125</c:f>
              <c:numCache>
                <c:formatCode>General</c:formatCode>
                <c:ptCount val="3"/>
                <c:pt idx="0">
                  <c:v>9</c:v>
                </c:pt>
                <c:pt idx="1">
                  <c:v>10</c:v>
                </c:pt>
                <c:pt idx="2">
                  <c:v>12</c:v>
                </c:pt>
              </c:numCache>
            </c:numRef>
          </c:val>
          <c:extLst>
            <c:ext xmlns:c16="http://schemas.microsoft.com/office/drawing/2014/chart" uri="{C3380CC4-5D6E-409C-BE32-E72D297353CC}">
              <c16:uniqueId val="{00000006-C9E6-42F0-A07A-65CB13BC50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500" b="0" i="0" u="none" strike="noStrike" kern="1200" baseline="0">
              <a:solidFill>
                <a:schemeClr val="lt1">
                  <a:lumMod val="8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absolute">
    <xdr:from>
      <xdr:col>4</xdr:col>
      <xdr:colOff>359833</xdr:colOff>
      <xdr:row>2179</xdr:row>
      <xdr:rowOff>169333</xdr:rowOff>
    </xdr:from>
    <xdr:to>
      <xdr:col>6</xdr:col>
      <xdr:colOff>1267883</xdr:colOff>
      <xdr:row>2185</xdr:row>
      <xdr:rowOff>95250</xdr:rowOff>
    </xdr:to>
    <mc:AlternateContent xmlns:mc="http://schemas.openxmlformats.org/markup-compatibility/2006">
      <mc:Choice xmlns:sle15="http://schemas.microsoft.com/office/drawing/2012/slicer" Requires="sle15">
        <xdr:graphicFrame macro="">
          <xdr:nvGraphicFramePr>
            <xdr:cNvPr id="2" name="gender">
              <a:extLst>
                <a:ext uri="{FF2B5EF4-FFF2-40B4-BE49-F238E27FC236}">
                  <a16:creationId xmlns:a16="http://schemas.microsoft.com/office/drawing/2014/main" id="{BC4FFD4B-8F43-45E7-6756-C08ECD6B4F8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222750" y="225340333"/>
              <a:ext cx="1828800" cy="1068917"/>
            </a:xfrm>
            <a:prstGeom prst="rect">
              <a:avLst/>
            </a:prstGeom>
            <a:solidFill>
              <a:prstClr val="white"/>
            </a:solidFill>
            <a:ln w="1">
              <a:solidFill>
                <a:prstClr val="green"/>
              </a:solidFill>
            </a:ln>
          </xdr:spPr>
          <xdr:txBody>
            <a:bodyPr vertOverflow="clip" horzOverflow="clip"/>
            <a:lstStyle/>
            <a:p>
              <a:r>
                <a:rPr lang="id-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1407583</xdr:colOff>
      <xdr:row>2179</xdr:row>
      <xdr:rowOff>142875</xdr:rowOff>
    </xdr:from>
    <xdr:to>
      <xdr:col>8</xdr:col>
      <xdr:colOff>558800</xdr:colOff>
      <xdr:row>2193</xdr:row>
      <xdr:rowOff>142875</xdr:rowOff>
    </xdr:to>
    <mc:AlternateContent xmlns:mc="http://schemas.openxmlformats.org/markup-compatibility/2006">
      <mc:Choice xmlns:sle15="http://schemas.microsoft.com/office/drawing/2012/slicer" Requires="sle15">
        <xdr:graphicFrame macro="">
          <xdr:nvGraphicFramePr>
            <xdr:cNvPr id="3" name="platform_usage">
              <a:extLst>
                <a:ext uri="{FF2B5EF4-FFF2-40B4-BE49-F238E27FC236}">
                  <a16:creationId xmlns:a16="http://schemas.microsoft.com/office/drawing/2014/main" id="{9C4488BC-7D3D-CFF7-B6BD-539EECD27524}"/>
                </a:ext>
              </a:extLst>
            </xdr:cNvPr>
            <xdr:cNvGraphicFramePr/>
          </xdr:nvGraphicFramePr>
          <xdr:xfrm>
            <a:off x="0" y="0"/>
            <a:ext cx="0" cy="0"/>
          </xdr:xfrm>
          <a:graphic>
            <a:graphicData uri="http://schemas.microsoft.com/office/drawing/2010/slicer">
              <sle:slicer xmlns:sle="http://schemas.microsoft.com/office/drawing/2010/slicer" name="platform_usage"/>
            </a:graphicData>
          </a:graphic>
        </xdr:graphicFrame>
      </mc:Choice>
      <mc:Fallback>
        <xdr:sp macro="" textlink="">
          <xdr:nvSpPr>
            <xdr:cNvPr id="0" name=""/>
            <xdr:cNvSpPr>
              <a:spLocks noTextEdit="1"/>
            </xdr:cNvSpPr>
          </xdr:nvSpPr>
          <xdr:spPr>
            <a:xfrm>
              <a:off x="6191250" y="225313875"/>
              <a:ext cx="1828800" cy="2667000"/>
            </a:xfrm>
            <a:prstGeom prst="rect">
              <a:avLst/>
            </a:prstGeom>
            <a:solidFill>
              <a:prstClr val="white"/>
            </a:solidFill>
            <a:ln w="1">
              <a:solidFill>
                <a:prstClr val="green"/>
              </a:solidFill>
            </a:ln>
          </xdr:spPr>
          <xdr:txBody>
            <a:bodyPr vertOverflow="clip" horzOverflow="clip"/>
            <a:lstStyle/>
            <a:p>
              <a:r>
                <a:rPr lang="id-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1407583</xdr:colOff>
      <xdr:row>37</xdr:row>
      <xdr:rowOff>142875</xdr:rowOff>
    </xdr:from>
    <xdr:to>
      <xdr:col>8</xdr:col>
      <xdr:colOff>558800</xdr:colOff>
      <xdr:row>95</xdr:row>
      <xdr:rowOff>142875</xdr:rowOff>
    </xdr:to>
    <mc:AlternateContent xmlns:mc="http://schemas.openxmlformats.org/markup-compatibility/2006">
      <mc:Choice xmlns:sle15="http://schemas.microsoft.com/office/drawing/2012/slicer" Requires="sle15">
        <xdr:graphicFrame macro="">
          <xdr:nvGraphicFramePr>
            <xdr:cNvPr id="5" name="gender 1">
              <a:extLst>
                <a:ext uri="{FF2B5EF4-FFF2-40B4-BE49-F238E27FC236}">
                  <a16:creationId xmlns:a16="http://schemas.microsoft.com/office/drawing/2014/main" id="{BD75A445-EE59-1D16-DD3F-BF993F2F634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191250" y="1095375"/>
              <a:ext cx="1828800" cy="2667000"/>
            </a:xfrm>
            <a:prstGeom prst="rect">
              <a:avLst/>
            </a:prstGeom>
            <a:solidFill>
              <a:prstClr val="white"/>
            </a:solidFill>
            <a:ln w="1">
              <a:solidFill>
                <a:prstClr val="green"/>
              </a:solidFill>
            </a:ln>
          </xdr:spPr>
          <xdr:txBody>
            <a:bodyPr vertOverflow="clip" horzOverflow="clip"/>
            <a:lstStyle/>
            <a:p>
              <a:r>
                <a:rPr lang="id-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116416</xdr:colOff>
      <xdr:row>95</xdr:row>
      <xdr:rowOff>124354</xdr:rowOff>
    </xdr:from>
    <xdr:to>
      <xdr:col>7</xdr:col>
      <xdr:colOff>624415</xdr:colOff>
      <xdr:row>109</xdr:row>
      <xdr:rowOff>31750</xdr:rowOff>
    </xdr:to>
    <xdr:graphicFrame macro="">
      <xdr:nvGraphicFramePr>
        <xdr:cNvPr id="3" name="Chart 2">
          <a:extLst>
            <a:ext uri="{FF2B5EF4-FFF2-40B4-BE49-F238E27FC236}">
              <a16:creationId xmlns:a16="http://schemas.microsoft.com/office/drawing/2014/main" id="{BF7CA24A-265B-C2C6-FC93-865563E43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285751</xdr:colOff>
      <xdr:row>0</xdr:row>
      <xdr:rowOff>0</xdr:rowOff>
    </xdr:from>
    <xdr:to>
      <xdr:col>5</xdr:col>
      <xdr:colOff>423333</xdr:colOff>
      <xdr:row>7</xdr:row>
      <xdr:rowOff>137583</xdr:rowOff>
    </xdr:to>
    <xdr:graphicFrame macro="">
      <xdr:nvGraphicFramePr>
        <xdr:cNvPr id="4" name="Chart 3">
          <a:extLst>
            <a:ext uri="{FF2B5EF4-FFF2-40B4-BE49-F238E27FC236}">
              <a16:creationId xmlns:a16="http://schemas.microsoft.com/office/drawing/2014/main" id="{3E7DCDBF-1FBF-F243-9AFB-9D92AB70A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285752</xdr:colOff>
      <xdr:row>7</xdr:row>
      <xdr:rowOff>126999</xdr:rowOff>
    </xdr:from>
    <xdr:to>
      <xdr:col>5</xdr:col>
      <xdr:colOff>592666</xdr:colOff>
      <xdr:row>15</xdr:row>
      <xdr:rowOff>21167</xdr:rowOff>
    </xdr:to>
    <xdr:graphicFrame macro="">
      <xdr:nvGraphicFramePr>
        <xdr:cNvPr id="5" name="Chart 4">
          <a:extLst>
            <a:ext uri="{FF2B5EF4-FFF2-40B4-BE49-F238E27FC236}">
              <a16:creationId xmlns:a16="http://schemas.microsoft.com/office/drawing/2014/main" id="{2AD3C625-539F-455C-10B7-BF5D69107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973667</xdr:colOff>
      <xdr:row>29</xdr:row>
      <xdr:rowOff>104774</xdr:rowOff>
    </xdr:from>
    <xdr:to>
      <xdr:col>12</xdr:col>
      <xdr:colOff>677333</xdr:colOff>
      <xdr:row>40</xdr:row>
      <xdr:rowOff>158749</xdr:rowOff>
    </xdr:to>
    <xdr:graphicFrame macro="">
      <xdr:nvGraphicFramePr>
        <xdr:cNvPr id="11" name="Chart 10">
          <a:extLst>
            <a:ext uri="{FF2B5EF4-FFF2-40B4-BE49-F238E27FC236}">
              <a16:creationId xmlns:a16="http://schemas.microsoft.com/office/drawing/2014/main" id="{2D369406-884B-8447-4362-FEC35DA9B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402167</xdr:colOff>
      <xdr:row>117</xdr:row>
      <xdr:rowOff>62441</xdr:rowOff>
    </xdr:from>
    <xdr:to>
      <xdr:col>5</xdr:col>
      <xdr:colOff>1968500</xdr:colOff>
      <xdr:row>126</xdr:row>
      <xdr:rowOff>0</xdr:rowOff>
    </xdr:to>
    <xdr:graphicFrame macro="">
      <xdr:nvGraphicFramePr>
        <xdr:cNvPr id="13" name="Chart 12">
          <a:extLst>
            <a:ext uri="{FF2B5EF4-FFF2-40B4-BE49-F238E27FC236}">
              <a16:creationId xmlns:a16="http://schemas.microsoft.com/office/drawing/2014/main" id="{B05017D5-151E-F7F3-49A4-B26CE6CAB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508000</xdr:colOff>
      <xdr:row>127</xdr:row>
      <xdr:rowOff>30691</xdr:rowOff>
    </xdr:from>
    <xdr:to>
      <xdr:col>5</xdr:col>
      <xdr:colOff>2000249</xdr:colOff>
      <xdr:row>138</xdr:row>
      <xdr:rowOff>52917</xdr:rowOff>
    </xdr:to>
    <xdr:graphicFrame macro="">
      <xdr:nvGraphicFramePr>
        <xdr:cNvPr id="14" name="Chart 13">
          <a:extLst>
            <a:ext uri="{FF2B5EF4-FFF2-40B4-BE49-F238E27FC236}">
              <a16:creationId xmlns:a16="http://schemas.microsoft.com/office/drawing/2014/main" id="{D866EABA-0D13-B39D-CDD5-FD6454188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222250</xdr:colOff>
      <xdr:row>24</xdr:row>
      <xdr:rowOff>30691</xdr:rowOff>
    </xdr:from>
    <xdr:to>
      <xdr:col>4</xdr:col>
      <xdr:colOff>1735666</xdr:colOff>
      <xdr:row>33</xdr:row>
      <xdr:rowOff>116417</xdr:rowOff>
    </xdr:to>
    <xdr:graphicFrame macro="">
      <xdr:nvGraphicFramePr>
        <xdr:cNvPr id="15" name="Chart 14">
          <a:extLst>
            <a:ext uri="{FF2B5EF4-FFF2-40B4-BE49-F238E27FC236}">
              <a16:creationId xmlns:a16="http://schemas.microsoft.com/office/drawing/2014/main" id="{90747385-00DC-A6DD-3FD3-AB473FE58C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380999</xdr:colOff>
      <xdr:row>15</xdr:row>
      <xdr:rowOff>9525</xdr:rowOff>
    </xdr:from>
    <xdr:to>
      <xdr:col>5</xdr:col>
      <xdr:colOff>1545165</xdr:colOff>
      <xdr:row>23</xdr:row>
      <xdr:rowOff>105833</xdr:rowOff>
    </xdr:to>
    <xdr:graphicFrame macro="">
      <xdr:nvGraphicFramePr>
        <xdr:cNvPr id="16" name="Chart 15">
          <a:extLst>
            <a:ext uri="{FF2B5EF4-FFF2-40B4-BE49-F238E27FC236}">
              <a16:creationId xmlns:a16="http://schemas.microsoft.com/office/drawing/2014/main" id="{685DF8E1-E3F2-4EB3-37E2-43E9BA4B0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412750</xdr:colOff>
      <xdr:row>44</xdr:row>
      <xdr:rowOff>80962</xdr:rowOff>
    </xdr:from>
    <xdr:to>
      <xdr:col>3</xdr:col>
      <xdr:colOff>396875</xdr:colOff>
      <xdr:row>58</xdr:row>
      <xdr:rowOff>157162</xdr:rowOff>
    </xdr:to>
    <xdr:graphicFrame macro="">
      <xdr:nvGraphicFramePr>
        <xdr:cNvPr id="6" name="Chart 5">
          <a:extLst>
            <a:ext uri="{FF2B5EF4-FFF2-40B4-BE49-F238E27FC236}">
              <a16:creationId xmlns:a16="http://schemas.microsoft.com/office/drawing/2014/main" id="{EF9C38BE-975B-AC10-D850-74061E12A1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70526</xdr:colOff>
      <xdr:row>24</xdr:row>
      <xdr:rowOff>24901</xdr:rowOff>
    </xdr:from>
    <xdr:to>
      <xdr:col>14</xdr:col>
      <xdr:colOff>58168</xdr:colOff>
      <xdr:row>44</xdr:row>
      <xdr:rowOff>86591</xdr:rowOff>
    </xdr:to>
    <xdr:graphicFrame macro="">
      <xdr:nvGraphicFramePr>
        <xdr:cNvPr id="17" name="Chart 16">
          <a:extLst>
            <a:ext uri="{FF2B5EF4-FFF2-40B4-BE49-F238E27FC236}">
              <a16:creationId xmlns:a16="http://schemas.microsoft.com/office/drawing/2014/main" id="{442388DF-0BCA-C5B8-A340-CA8BF05E9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64942</xdr:colOff>
      <xdr:row>24</xdr:row>
      <xdr:rowOff>21644</xdr:rowOff>
    </xdr:from>
    <xdr:to>
      <xdr:col>24</xdr:col>
      <xdr:colOff>1</xdr:colOff>
      <xdr:row>44</xdr:row>
      <xdr:rowOff>101085</xdr:rowOff>
    </xdr:to>
    <xdr:graphicFrame macro="">
      <xdr:nvGraphicFramePr>
        <xdr:cNvPr id="18" name="Chart 17">
          <a:extLst>
            <a:ext uri="{FF2B5EF4-FFF2-40B4-BE49-F238E27FC236}">
              <a16:creationId xmlns:a16="http://schemas.microsoft.com/office/drawing/2014/main" id="{E49D299D-9B8C-27F8-9A7D-6E8B98C32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582085</xdr:colOff>
      <xdr:row>24</xdr:row>
      <xdr:rowOff>21642</xdr:rowOff>
    </xdr:from>
    <xdr:to>
      <xdr:col>33</xdr:col>
      <xdr:colOff>485417</xdr:colOff>
      <xdr:row>44</xdr:row>
      <xdr:rowOff>108238</xdr:rowOff>
    </xdr:to>
    <xdr:graphicFrame macro="">
      <xdr:nvGraphicFramePr>
        <xdr:cNvPr id="23" name="Chart 22">
          <a:extLst>
            <a:ext uri="{FF2B5EF4-FFF2-40B4-BE49-F238E27FC236}">
              <a16:creationId xmlns:a16="http://schemas.microsoft.com/office/drawing/2014/main" id="{39690909-AA39-989B-0D50-46156EA67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142875</xdr:colOff>
      <xdr:row>0</xdr:row>
      <xdr:rowOff>47625</xdr:rowOff>
    </xdr:from>
    <xdr:to>
      <xdr:col>39</xdr:col>
      <xdr:colOff>476250</xdr:colOff>
      <xdr:row>55</xdr:row>
      <xdr:rowOff>49788</xdr:rowOff>
    </xdr:to>
    <xdr:sp macro="" textlink="">
      <xdr:nvSpPr>
        <xdr:cNvPr id="42" name="Rectangle 41">
          <a:extLst>
            <a:ext uri="{FF2B5EF4-FFF2-40B4-BE49-F238E27FC236}">
              <a16:creationId xmlns:a16="http://schemas.microsoft.com/office/drawing/2014/main" id="{4B59C106-EA29-4655-E6A7-C09FE68F1B8C}"/>
            </a:ext>
          </a:extLst>
        </xdr:cNvPr>
        <xdr:cNvSpPr/>
      </xdr:nvSpPr>
      <xdr:spPr>
        <a:xfrm>
          <a:off x="142875" y="47625"/>
          <a:ext cx="24479250" cy="10479663"/>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0</xdr:col>
      <xdr:colOff>210512</xdr:colOff>
      <xdr:row>33</xdr:row>
      <xdr:rowOff>164117</xdr:rowOff>
    </xdr:from>
    <xdr:to>
      <xdr:col>10</xdr:col>
      <xdr:colOff>238123</xdr:colOff>
      <xdr:row>55</xdr:row>
      <xdr:rowOff>17317</xdr:rowOff>
    </xdr:to>
    <xdr:graphicFrame macro="">
      <xdr:nvGraphicFramePr>
        <xdr:cNvPr id="52" name="Chart 51">
          <a:extLst>
            <a:ext uri="{FF2B5EF4-FFF2-40B4-BE49-F238E27FC236}">
              <a16:creationId xmlns:a16="http://schemas.microsoft.com/office/drawing/2014/main" id="{EF1BDC94-7F0E-4815-9A21-4B5599B57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204929</xdr:colOff>
      <xdr:row>34</xdr:row>
      <xdr:rowOff>119063</xdr:rowOff>
    </xdr:from>
    <xdr:to>
      <xdr:col>20</xdr:col>
      <xdr:colOff>139988</xdr:colOff>
      <xdr:row>55</xdr:row>
      <xdr:rowOff>31813</xdr:rowOff>
    </xdr:to>
    <xdr:graphicFrame macro="">
      <xdr:nvGraphicFramePr>
        <xdr:cNvPr id="53" name="Chart 52">
          <a:extLst>
            <a:ext uri="{FF2B5EF4-FFF2-40B4-BE49-F238E27FC236}">
              <a16:creationId xmlns:a16="http://schemas.microsoft.com/office/drawing/2014/main" id="{8751853D-1A7F-4088-BE73-44B3FDBC2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604314</xdr:colOff>
      <xdr:row>13</xdr:row>
      <xdr:rowOff>139073</xdr:rowOff>
    </xdr:from>
    <xdr:to>
      <xdr:col>39</xdr:col>
      <xdr:colOff>529642</xdr:colOff>
      <xdr:row>34</xdr:row>
      <xdr:rowOff>186171</xdr:rowOff>
    </xdr:to>
    <xdr:graphicFrame macro="">
      <xdr:nvGraphicFramePr>
        <xdr:cNvPr id="54" name="Chart 53">
          <a:extLst>
            <a:ext uri="{FF2B5EF4-FFF2-40B4-BE49-F238E27FC236}">
              <a16:creationId xmlns:a16="http://schemas.microsoft.com/office/drawing/2014/main" id="{EB4C8464-EB92-4ECC-B75C-01BF81DD3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115935</xdr:colOff>
      <xdr:row>33</xdr:row>
      <xdr:rowOff>135936</xdr:rowOff>
    </xdr:from>
    <xdr:to>
      <xdr:col>30</xdr:col>
      <xdr:colOff>6279</xdr:colOff>
      <xdr:row>55</xdr:row>
      <xdr:rowOff>15152</xdr:rowOff>
    </xdr:to>
    <xdr:graphicFrame macro="">
      <xdr:nvGraphicFramePr>
        <xdr:cNvPr id="55" name="Chart 54">
          <a:extLst>
            <a:ext uri="{FF2B5EF4-FFF2-40B4-BE49-F238E27FC236}">
              <a16:creationId xmlns:a16="http://schemas.microsoft.com/office/drawing/2014/main" id="{F9DBAA5C-5628-41A2-B544-70A521658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585056</xdr:colOff>
      <xdr:row>34</xdr:row>
      <xdr:rowOff>95250</xdr:rowOff>
    </xdr:from>
    <xdr:to>
      <xdr:col>39</xdr:col>
      <xdr:colOff>529638</xdr:colOff>
      <xdr:row>55</xdr:row>
      <xdr:rowOff>15152</xdr:rowOff>
    </xdr:to>
    <xdr:graphicFrame macro="">
      <xdr:nvGraphicFramePr>
        <xdr:cNvPr id="56" name="Chart 55">
          <a:extLst>
            <a:ext uri="{FF2B5EF4-FFF2-40B4-BE49-F238E27FC236}">
              <a16:creationId xmlns:a16="http://schemas.microsoft.com/office/drawing/2014/main" id="{4A41B6CB-0B1B-442C-8DB9-DE27AA69C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183284</xdr:colOff>
      <xdr:row>13</xdr:row>
      <xdr:rowOff>140510</xdr:rowOff>
    </xdr:from>
    <xdr:to>
      <xdr:col>20</xdr:col>
      <xdr:colOff>119062</xdr:colOff>
      <xdr:row>34</xdr:row>
      <xdr:rowOff>153932</xdr:rowOff>
    </xdr:to>
    <xdr:graphicFrame macro="">
      <xdr:nvGraphicFramePr>
        <xdr:cNvPr id="57" name="Chart 56">
          <a:extLst>
            <a:ext uri="{FF2B5EF4-FFF2-40B4-BE49-F238E27FC236}">
              <a16:creationId xmlns:a16="http://schemas.microsoft.com/office/drawing/2014/main" id="{B3404507-EF08-4ABB-BC5C-67AE4E02A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204930</xdr:colOff>
      <xdr:row>13</xdr:row>
      <xdr:rowOff>138872</xdr:rowOff>
    </xdr:from>
    <xdr:to>
      <xdr:col>10</xdr:col>
      <xdr:colOff>181742</xdr:colOff>
      <xdr:row>33</xdr:row>
      <xdr:rowOff>166687</xdr:rowOff>
    </xdr:to>
    <xdr:graphicFrame macro="">
      <xdr:nvGraphicFramePr>
        <xdr:cNvPr id="58" name="Chart 57">
          <a:extLst>
            <a:ext uri="{FF2B5EF4-FFF2-40B4-BE49-F238E27FC236}">
              <a16:creationId xmlns:a16="http://schemas.microsoft.com/office/drawing/2014/main" id="{BE386AEE-A6BB-480A-A6AB-2D3E46B38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96690</xdr:colOff>
      <xdr:row>13</xdr:row>
      <xdr:rowOff>140509</xdr:rowOff>
    </xdr:from>
    <xdr:to>
      <xdr:col>29</xdr:col>
      <xdr:colOff>606711</xdr:colOff>
      <xdr:row>34</xdr:row>
      <xdr:rowOff>47625</xdr:rowOff>
    </xdr:to>
    <xdr:graphicFrame macro="">
      <xdr:nvGraphicFramePr>
        <xdr:cNvPr id="59" name="Chart 58">
          <a:extLst>
            <a:ext uri="{FF2B5EF4-FFF2-40B4-BE49-F238E27FC236}">
              <a16:creationId xmlns:a16="http://schemas.microsoft.com/office/drawing/2014/main" id="{55E4D23E-611B-42EA-9514-8CB26A0AE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166687</xdr:colOff>
      <xdr:row>0</xdr:row>
      <xdr:rowOff>47626</xdr:rowOff>
    </xdr:from>
    <xdr:to>
      <xdr:col>39</xdr:col>
      <xdr:colOff>476249</xdr:colOff>
      <xdr:row>5</xdr:row>
      <xdr:rowOff>9526</xdr:rowOff>
    </xdr:to>
    <xdr:sp macro="" textlink="">
      <xdr:nvSpPr>
        <xdr:cNvPr id="73" name="Rectangle 72">
          <a:extLst>
            <a:ext uri="{FF2B5EF4-FFF2-40B4-BE49-F238E27FC236}">
              <a16:creationId xmlns:a16="http://schemas.microsoft.com/office/drawing/2014/main" id="{65AECC3D-2AD4-AAFB-4ED0-1B2A1996D031}"/>
            </a:ext>
          </a:extLst>
        </xdr:cNvPr>
        <xdr:cNvSpPr/>
      </xdr:nvSpPr>
      <xdr:spPr>
        <a:xfrm>
          <a:off x="166687" y="47626"/>
          <a:ext cx="24455437" cy="91440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500" b="1">
              <a:solidFill>
                <a:schemeClr val="tx1"/>
              </a:solidFill>
              <a:latin typeface="Times New Roman" panose="02020603050405020304" pitchFamily="18" charset="0"/>
              <a:cs typeface="Times New Roman" panose="02020603050405020304" pitchFamily="18" charset="0"/>
            </a:rPr>
            <a:t>TEEN</a:t>
          </a:r>
          <a:r>
            <a:rPr lang="en-US" sz="3500" b="1" baseline="0">
              <a:solidFill>
                <a:schemeClr val="tx1"/>
              </a:solidFill>
              <a:latin typeface="Times New Roman" panose="02020603050405020304" pitchFamily="18" charset="0"/>
              <a:cs typeface="Times New Roman" panose="02020603050405020304" pitchFamily="18" charset="0"/>
            </a:rPr>
            <a:t> MENTAL HEALTH DATASET </a:t>
          </a:r>
          <a:r>
            <a:rPr lang="en-US" sz="3500" b="1">
              <a:solidFill>
                <a:schemeClr val="tx1"/>
              </a:solidFill>
              <a:latin typeface="Times New Roman" panose="02020603050405020304" pitchFamily="18" charset="0"/>
              <a:cs typeface="Times New Roman" panose="02020603050405020304" pitchFamily="18" charset="0"/>
            </a:rPr>
            <a:t> </a:t>
          </a:r>
          <a:endParaRPr lang="id-ID" sz="35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176213</xdr:colOff>
      <xdr:row>5</xdr:row>
      <xdr:rowOff>33336</xdr:rowOff>
    </xdr:from>
    <xdr:to>
      <xdr:col>5</xdr:col>
      <xdr:colOff>523876</xdr:colOff>
      <xdr:row>13</xdr:row>
      <xdr:rowOff>95249</xdr:rowOff>
    </xdr:to>
    <xdr:sp macro="" textlink="">
      <xdr:nvSpPr>
        <xdr:cNvPr id="74" name="Rectangle 73">
          <a:extLst>
            <a:ext uri="{FF2B5EF4-FFF2-40B4-BE49-F238E27FC236}">
              <a16:creationId xmlns:a16="http://schemas.microsoft.com/office/drawing/2014/main" id="{90B15299-1326-4ADF-A318-FC636C755127}"/>
            </a:ext>
          </a:extLst>
        </xdr:cNvPr>
        <xdr:cNvSpPr/>
      </xdr:nvSpPr>
      <xdr:spPr>
        <a:xfrm>
          <a:off x="176213" y="985836"/>
          <a:ext cx="3443288" cy="1585913"/>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300">
              <a:solidFill>
                <a:schemeClr val="tx1"/>
              </a:solidFill>
              <a:latin typeface="Times New Roman" panose="02020603050405020304" pitchFamily="18" charset="0"/>
              <a:cs typeface="Times New Roman" panose="02020603050405020304" pitchFamily="18" charset="0"/>
            </a:rPr>
            <a:t>Total</a:t>
          </a:r>
          <a:r>
            <a:rPr lang="en-US" sz="3300" baseline="0">
              <a:solidFill>
                <a:schemeClr val="tx1"/>
              </a:solidFill>
              <a:latin typeface="Times New Roman" panose="02020603050405020304" pitchFamily="18" charset="0"/>
              <a:cs typeface="Times New Roman" panose="02020603050405020304" pitchFamily="18" charset="0"/>
            </a:rPr>
            <a:t> Responden</a:t>
          </a:r>
        </a:p>
        <a:p>
          <a:pPr algn="ctr"/>
          <a:r>
            <a:rPr lang="en-US" sz="3300" b="1" baseline="0">
              <a:solidFill>
                <a:schemeClr val="tx1"/>
              </a:solidFill>
              <a:latin typeface="Times New Roman" panose="02020603050405020304" pitchFamily="18" charset="0"/>
              <a:cs typeface="Times New Roman" panose="02020603050405020304" pitchFamily="18" charset="0"/>
            </a:rPr>
            <a:t>1200</a:t>
          </a:r>
          <a:endParaRPr lang="id-ID" sz="33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542926</xdr:colOff>
      <xdr:row>5</xdr:row>
      <xdr:rowOff>19049</xdr:rowOff>
    </xdr:from>
    <xdr:to>
      <xdr:col>11</xdr:col>
      <xdr:colOff>271464</xdr:colOff>
      <xdr:row>13</xdr:row>
      <xdr:rowOff>95250</xdr:rowOff>
    </xdr:to>
    <xdr:sp macro="" textlink="">
      <xdr:nvSpPr>
        <xdr:cNvPr id="75" name="Rectangle 74">
          <a:extLst>
            <a:ext uri="{FF2B5EF4-FFF2-40B4-BE49-F238E27FC236}">
              <a16:creationId xmlns:a16="http://schemas.microsoft.com/office/drawing/2014/main" id="{96461C85-9742-43CB-A61E-B7550449F21B}"/>
            </a:ext>
          </a:extLst>
        </xdr:cNvPr>
        <xdr:cNvSpPr/>
      </xdr:nvSpPr>
      <xdr:spPr>
        <a:xfrm>
          <a:off x="3638551" y="971549"/>
          <a:ext cx="3443288" cy="1600201"/>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300">
              <a:solidFill>
                <a:schemeClr val="tx1"/>
              </a:solidFill>
              <a:latin typeface="Times New Roman" panose="02020603050405020304" pitchFamily="18" charset="0"/>
              <a:cs typeface="Times New Roman" panose="02020603050405020304" pitchFamily="18" charset="0"/>
            </a:rPr>
            <a:t>Total</a:t>
          </a:r>
          <a:r>
            <a:rPr lang="en-US" sz="3300" baseline="0">
              <a:solidFill>
                <a:schemeClr val="tx1"/>
              </a:solidFill>
              <a:latin typeface="Times New Roman" panose="02020603050405020304" pitchFamily="18" charset="0"/>
              <a:cs typeface="Times New Roman" panose="02020603050405020304" pitchFamily="18" charset="0"/>
            </a:rPr>
            <a:t> Depresi</a:t>
          </a:r>
        </a:p>
        <a:p>
          <a:pPr algn="ctr"/>
          <a:r>
            <a:rPr lang="en-US" sz="3300" b="1" baseline="0">
              <a:solidFill>
                <a:schemeClr val="tx1"/>
              </a:solidFill>
              <a:latin typeface="Times New Roman" panose="02020603050405020304" pitchFamily="18" charset="0"/>
              <a:cs typeface="Times New Roman" panose="02020603050405020304" pitchFamily="18" charset="0"/>
            </a:rPr>
            <a:t>31 </a:t>
          </a:r>
          <a:endParaRPr lang="id-ID" sz="33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290514</xdr:colOff>
      <xdr:row>5</xdr:row>
      <xdr:rowOff>28574</xdr:rowOff>
    </xdr:from>
    <xdr:to>
      <xdr:col>17</xdr:col>
      <xdr:colOff>19052</xdr:colOff>
      <xdr:row>13</xdr:row>
      <xdr:rowOff>90487</xdr:rowOff>
    </xdr:to>
    <xdr:sp macro="" textlink="">
      <xdr:nvSpPr>
        <xdr:cNvPr id="76" name="Rectangle 75">
          <a:extLst>
            <a:ext uri="{FF2B5EF4-FFF2-40B4-BE49-F238E27FC236}">
              <a16:creationId xmlns:a16="http://schemas.microsoft.com/office/drawing/2014/main" id="{D2D788D3-A31D-48D0-9F83-9FAC63E29B28}"/>
            </a:ext>
          </a:extLst>
        </xdr:cNvPr>
        <xdr:cNvSpPr/>
      </xdr:nvSpPr>
      <xdr:spPr>
        <a:xfrm>
          <a:off x="7100889" y="981074"/>
          <a:ext cx="3443288" cy="1585913"/>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300" b="0">
              <a:solidFill>
                <a:schemeClr val="tx1"/>
              </a:solidFill>
              <a:latin typeface="Times New Roman" panose="02020603050405020304" pitchFamily="18" charset="0"/>
              <a:cs typeface="Times New Roman" panose="02020603050405020304" pitchFamily="18" charset="0"/>
            </a:rPr>
            <a:t>Rata-Rata</a:t>
          </a:r>
          <a:r>
            <a:rPr lang="en-US" sz="3300" b="0" baseline="0">
              <a:solidFill>
                <a:schemeClr val="tx1"/>
              </a:solidFill>
              <a:latin typeface="Times New Roman" panose="02020603050405020304" pitchFamily="18" charset="0"/>
              <a:cs typeface="Times New Roman" panose="02020603050405020304" pitchFamily="18" charset="0"/>
            </a:rPr>
            <a:t> Jam Medsos</a:t>
          </a:r>
        </a:p>
        <a:p>
          <a:pPr algn="ctr"/>
          <a:r>
            <a:rPr lang="id-ID" sz="3300" b="1">
              <a:solidFill>
                <a:schemeClr val="tx1"/>
              </a:solidFill>
              <a:latin typeface="Times New Roman" panose="02020603050405020304" pitchFamily="18" charset="0"/>
              <a:cs typeface="Times New Roman" panose="02020603050405020304" pitchFamily="18" charset="0"/>
            </a:rPr>
            <a:t>4.536667 </a:t>
          </a:r>
        </a:p>
      </xdr:txBody>
    </xdr:sp>
    <xdr:clientData/>
  </xdr:twoCellAnchor>
  <xdr:twoCellAnchor>
    <xdr:from>
      <xdr:col>17</xdr:col>
      <xdr:colOff>38102</xdr:colOff>
      <xdr:row>5</xdr:row>
      <xdr:rowOff>23812</xdr:rowOff>
    </xdr:from>
    <xdr:to>
      <xdr:col>22</xdr:col>
      <xdr:colOff>385765</xdr:colOff>
      <xdr:row>13</xdr:row>
      <xdr:rowOff>100011</xdr:rowOff>
    </xdr:to>
    <xdr:sp macro="" textlink="">
      <xdr:nvSpPr>
        <xdr:cNvPr id="77" name="Rectangle 76">
          <a:extLst>
            <a:ext uri="{FF2B5EF4-FFF2-40B4-BE49-F238E27FC236}">
              <a16:creationId xmlns:a16="http://schemas.microsoft.com/office/drawing/2014/main" id="{B161DD9F-6065-4AE4-8691-B617A91B956E}"/>
            </a:ext>
          </a:extLst>
        </xdr:cNvPr>
        <xdr:cNvSpPr/>
      </xdr:nvSpPr>
      <xdr:spPr>
        <a:xfrm>
          <a:off x="10563227" y="976312"/>
          <a:ext cx="3443288" cy="1600199"/>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300" b="0">
              <a:solidFill>
                <a:schemeClr val="tx1"/>
              </a:solidFill>
              <a:latin typeface="Times New Roman" panose="02020603050405020304" pitchFamily="18" charset="0"/>
              <a:cs typeface="Times New Roman" panose="02020603050405020304" pitchFamily="18" charset="0"/>
            </a:rPr>
            <a:t>Rata-Rata</a:t>
          </a:r>
          <a:r>
            <a:rPr lang="en-US" sz="3300" b="0" baseline="0">
              <a:solidFill>
                <a:schemeClr val="tx1"/>
              </a:solidFill>
              <a:latin typeface="Times New Roman" panose="02020603050405020304" pitchFamily="18" charset="0"/>
              <a:cs typeface="Times New Roman" panose="02020603050405020304" pitchFamily="18" charset="0"/>
            </a:rPr>
            <a:t> Jam Tidur</a:t>
          </a:r>
        </a:p>
        <a:p>
          <a:pPr algn="ctr"/>
          <a:r>
            <a:rPr lang="id-ID" sz="3300" b="1">
              <a:solidFill>
                <a:schemeClr val="tx1"/>
              </a:solidFill>
              <a:latin typeface="Times New Roman" panose="02020603050405020304" pitchFamily="18" charset="0"/>
              <a:cs typeface="Times New Roman" panose="02020603050405020304" pitchFamily="18" charset="0"/>
            </a:rPr>
            <a:t>6.449417  </a:t>
          </a:r>
        </a:p>
      </xdr:txBody>
    </xdr:sp>
    <xdr:clientData/>
  </xdr:twoCellAnchor>
  <xdr:twoCellAnchor>
    <xdr:from>
      <xdr:col>22</xdr:col>
      <xdr:colOff>404815</xdr:colOff>
      <xdr:row>5</xdr:row>
      <xdr:rowOff>23811</xdr:rowOff>
    </xdr:from>
    <xdr:to>
      <xdr:col>28</xdr:col>
      <xdr:colOff>133353</xdr:colOff>
      <xdr:row>13</xdr:row>
      <xdr:rowOff>85724</xdr:rowOff>
    </xdr:to>
    <xdr:sp macro="" textlink="">
      <xdr:nvSpPr>
        <xdr:cNvPr id="78" name="Rectangle 77">
          <a:extLst>
            <a:ext uri="{FF2B5EF4-FFF2-40B4-BE49-F238E27FC236}">
              <a16:creationId xmlns:a16="http://schemas.microsoft.com/office/drawing/2014/main" id="{FB1C08D0-E1A5-47D7-868B-EBA74ED27BB9}"/>
            </a:ext>
          </a:extLst>
        </xdr:cNvPr>
        <xdr:cNvSpPr/>
      </xdr:nvSpPr>
      <xdr:spPr>
        <a:xfrm>
          <a:off x="14025565" y="976311"/>
          <a:ext cx="3443288" cy="1585913"/>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300" b="0">
              <a:solidFill>
                <a:schemeClr val="tx1"/>
              </a:solidFill>
              <a:latin typeface="Times New Roman" panose="02020603050405020304" pitchFamily="18" charset="0"/>
              <a:cs typeface="Times New Roman" panose="02020603050405020304" pitchFamily="18" charset="0"/>
            </a:rPr>
            <a:t>Rata-Rata</a:t>
          </a:r>
          <a:r>
            <a:rPr lang="en-US" sz="3300" b="0" baseline="0">
              <a:solidFill>
                <a:schemeClr val="tx1"/>
              </a:solidFill>
              <a:latin typeface="Times New Roman" panose="02020603050405020304" pitchFamily="18" charset="0"/>
              <a:cs typeface="Times New Roman" panose="02020603050405020304" pitchFamily="18" charset="0"/>
            </a:rPr>
            <a:t> Level Stress</a:t>
          </a:r>
        </a:p>
        <a:p>
          <a:pPr algn="ctr"/>
          <a:r>
            <a:rPr lang="id-ID" sz="3300" b="1">
              <a:solidFill>
                <a:schemeClr val="tx1"/>
              </a:solidFill>
              <a:latin typeface="Times New Roman" panose="02020603050405020304" pitchFamily="18" charset="0"/>
              <a:cs typeface="Times New Roman" panose="02020603050405020304" pitchFamily="18" charset="0"/>
            </a:rPr>
            <a:t>5.445833 </a:t>
          </a:r>
        </a:p>
      </xdr:txBody>
    </xdr:sp>
    <xdr:clientData/>
  </xdr:twoCellAnchor>
  <xdr:twoCellAnchor>
    <xdr:from>
      <xdr:col>28</xdr:col>
      <xdr:colOff>176215</xdr:colOff>
      <xdr:row>5</xdr:row>
      <xdr:rowOff>33337</xdr:rowOff>
    </xdr:from>
    <xdr:to>
      <xdr:col>33</xdr:col>
      <xdr:colOff>523878</xdr:colOff>
      <xdr:row>13</xdr:row>
      <xdr:rowOff>95250</xdr:rowOff>
    </xdr:to>
    <xdr:sp macro="" textlink="">
      <xdr:nvSpPr>
        <xdr:cNvPr id="79" name="Rectangle 78">
          <a:extLst>
            <a:ext uri="{FF2B5EF4-FFF2-40B4-BE49-F238E27FC236}">
              <a16:creationId xmlns:a16="http://schemas.microsoft.com/office/drawing/2014/main" id="{9B1B2D58-1BEC-40FA-BBC2-874A6C507279}"/>
            </a:ext>
          </a:extLst>
        </xdr:cNvPr>
        <xdr:cNvSpPr/>
      </xdr:nvSpPr>
      <xdr:spPr>
        <a:xfrm>
          <a:off x="17511715" y="985837"/>
          <a:ext cx="3443288" cy="1585913"/>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300" b="0">
              <a:solidFill>
                <a:schemeClr val="tx1"/>
              </a:solidFill>
              <a:latin typeface="Times New Roman" panose="02020603050405020304" pitchFamily="18" charset="0"/>
              <a:cs typeface="Times New Roman" panose="02020603050405020304" pitchFamily="18" charset="0"/>
            </a:rPr>
            <a:t>Rata-Rata</a:t>
          </a:r>
          <a:r>
            <a:rPr lang="en-US" sz="3300" b="0" baseline="0">
              <a:solidFill>
                <a:schemeClr val="tx1"/>
              </a:solidFill>
              <a:latin typeface="Times New Roman" panose="02020603050405020304" pitchFamily="18" charset="0"/>
              <a:cs typeface="Times New Roman" panose="02020603050405020304" pitchFamily="18" charset="0"/>
            </a:rPr>
            <a:t> Level Anxity</a:t>
          </a:r>
        </a:p>
        <a:p>
          <a:pPr algn="ctr"/>
          <a:r>
            <a:rPr lang="id-ID" sz="3300" b="1">
              <a:solidFill>
                <a:schemeClr val="tx1"/>
              </a:solidFill>
              <a:latin typeface="Times New Roman" panose="02020603050405020304" pitchFamily="18" charset="0"/>
              <a:cs typeface="Times New Roman" panose="02020603050405020304" pitchFamily="18" charset="0"/>
            </a:rPr>
            <a:t>5.636667  </a:t>
          </a:r>
        </a:p>
      </xdr:txBody>
    </xdr:sp>
    <xdr:clientData/>
  </xdr:twoCellAnchor>
  <xdr:twoCellAnchor>
    <xdr:from>
      <xdr:col>33</xdr:col>
      <xdr:colOff>542928</xdr:colOff>
      <xdr:row>5</xdr:row>
      <xdr:rowOff>19050</xdr:rowOff>
    </xdr:from>
    <xdr:to>
      <xdr:col>39</xdr:col>
      <xdr:colOff>428625</xdr:colOff>
      <xdr:row>13</xdr:row>
      <xdr:rowOff>95250</xdr:rowOff>
    </xdr:to>
    <xdr:sp macro="" textlink="">
      <xdr:nvSpPr>
        <xdr:cNvPr id="81" name="Rectangle 80">
          <a:extLst>
            <a:ext uri="{FF2B5EF4-FFF2-40B4-BE49-F238E27FC236}">
              <a16:creationId xmlns:a16="http://schemas.microsoft.com/office/drawing/2014/main" id="{5CAFBBEA-89D5-493E-A91B-C295C02ED97E}"/>
            </a:ext>
          </a:extLst>
        </xdr:cNvPr>
        <xdr:cNvSpPr/>
      </xdr:nvSpPr>
      <xdr:spPr>
        <a:xfrm>
          <a:off x="20974053" y="971550"/>
          <a:ext cx="3600447" cy="160020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3300" b="1">
              <a:solidFill>
                <a:schemeClr val="tx1"/>
              </a:solidFill>
              <a:latin typeface="Times New Roman" panose="02020603050405020304" pitchFamily="18" charset="0"/>
              <a:cs typeface="Times New Roman" panose="02020603050405020304" pitchFamily="18" charset="0"/>
            </a:rPr>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0.835824305555" createdVersion="8" refreshedVersion="8" minRefreshableVersion="3" recordCount="1200" xr:uid="{EEDD5595-AF78-40C5-B4BA-2B39AE6F45AF}">
  <cacheSource type="worksheet">
    <worksheetSource ref="A1:M1201" sheet="Working sheet"/>
  </cacheSource>
  <cacheFields count="13">
    <cacheField name="age" numFmtId="0">
      <sharedItems containsSemiMixedTypes="0" containsString="0" containsNumber="1" containsInteger="1" minValue="13" maxValue="19" count="7">
        <n v="14"/>
        <n v="19"/>
        <n v="17"/>
        <n v="15"/>
        <n v="18"/>
        <n v="16"/>
        <n v="13"/>
      </sharedItems>
    </cacheField>
    <cacheField name="gender" numFmtId="0">
      <sharedItems count="2">
        <s v="male"/>
        <s v="female"/>
      </sharedItems>
    </cacheField>
    <cacheField name="daily_social_media_hours" numFmtId="0">
      <sharedItems containsSemiMixedTypes="0" containsString="0" containsNumber="1" minValue="1" maxValue="8" count="71">
        <n v="7.9"/>
        <n v="1.9"/>
        <n v="1.3"/>
        <n v="7.4"/>
        <n v="4.7"/>
        <n v="2.5"/>
        <n v="4"/>
        <n v="3.3"/>
        <n v="7.2"/>
        <n v="4.9000000000000004"/>
        <n v="6.2"/>
        <n v="6.8"/>
        <n v="5.7"/>
        <n v="3.6"/>
        <n v="1.5"/>
        <n v="3.1"/>
        <n v="6.7"/>
        <n v="1.2"/>
        <n v="3.4"/>
        <n v="4.0999999999999996"/>
        <n v="5.3"/>
        <n v="2.2999999999999998"/>
        <n v="2.4"/>
        <n v="2"/>
        <n v="6.6"/>
        <n v="1.6"/>
        <n v="2.7"/>
        <n v="5"/>
        <n v="4.5999999999999996"/>
        <n v="4.8"/>
        <n v="6.3"/>
        <n v="6.4"/>
        <n v="7.3"/>
        <n v="5.2"/>
        <n v="4.5"/>
        <n v="3.5"/>
        <n v="2.9"/>
        <n v="5.8"/>
        <n v="7.1"/>
        <n v="4.3"/>
        <n v="3.9"/>
        <n v="7.5"/>
        <n v="6.9"/>
        <n v="1.1000000000000001"/>
        <n v="2.6"/>
        <n v="5.4"/>
        <n v="5.6"/>
        <n v="1.8"/>
        <n v="8"/>
        <n v="5.0999999999999996"/>
        <n v="3.2"/>
        <n v="7.7"/>
        <n v="6.5"/>
        <n v="7.8"/>
        <n v="6"/>
        <n v="3.8"/>
        <n v="2.1"/>
        <n v="4.4000000000000004"/>
        <n v="3"/>
        <n v="7"/>
        <n v="7.6"/>
        <n v="6.1"/>
        <n v="5.9"/>
        <n v="1.4"/>
        <n v="4.2"/>
        <n v="1.7"/>
        <n v="2.8"/>
        <n v="2.2000000000000002"/>
        <n v="3.7"/>
        <n v="5.5"/>
        <n v="1"/>
      </sharedItems>
    </cacheField>
    <cacheField name="platform_usage" numFmtId="0">
      <sharedItems count="3">
        <s v="Instagram"/>
        <s v="TikTok"/>
        <s v="Both"/>
      </sharedItems>
    </cacheField>
    <cacheField name="sleep_hours" numFmtId="0">
      <sharedItems containsSemiMixedTypes="0" containsString="0" containsNumber="1" minValue="4" maxValue="9" count="51">
        <n v="7.4"/>
        <n v="8"/>
        <n v="7.6"/>
        <n v="6.9"/>
        <n v="4.9000000000000004"/>
        <n v="4.4000000000000004"/>
        <n v="6.4"/>
        <n v="4.2"/>
        <n v="5"/>
        <n v="5.8"/>
        <n v="4.7"/>
        <n v="7.2"/>
        <n v="5.7"/>
        <n v="5.9"/>
        <n v="5.3"/>
        <n v="6.1"/>
        <n v="6.8"/>
        <n v="4.5999999999999996"/>
        <n v="6.7"/>
        <n v="8.6999999999999993"/>
        <n v="7.1"/>
        <n v="5.6"/>
        <n v="7.8"/>
        <n v="7.3"/>
        <n v="5.5"/>
        <n v="4"/>
        <n v="8.6"/>
        <n v="7.7"/>
        <n v="8.8000000000000007"/>
        <n v="4.0999999999999996"/>
        <n v="4.8"/>
        <n v="5.0999999999999996"/>
        <n v="6.3"/>
        <n v="8.5"/>
        <n v="4.5"/>
        <n v="6.5"/>
        <n v="8.1999999999999993"/>
        <n v="7"/>
        <n v="8.4"/>
        <n v="4.3"/>
        <n v="7.5"/>
        <n v="6"/>
        <n v="5.2"/>
        <n v="9"/>
        <n v="5.4"/>
        <n v="6.6"/>
        <n v="8.1"/>
        <n v="7.9"/>
        <n v="8.9"/>
        <n v="8.3000000000000007"/>
        <n v="6.2"/>
      </sharedItems>
    </cacheField>
    <cacheField name="screen_time_before_sleep" numFmtId="0">
      <sharedItems containsSemiMixedTypes="0" containsString="0" containsNumber="1" minValue="0.5" maxValue="3" count="26">
        <n v="2.9"/>
        <n v="0.5"/>
        <n v="1.6"/>
        <n v="3"/>
        <n v="2.4"/>
        <n v="2.1"/>
        <n v="1.5"/>
        <n v="2.5"/>
        <n v="2.6"/>
        <n v="1.1000000000000001"/>
        <n v="0.8"/>
        <n v="0.6"/>
        <n v="1.4"/>
        <n v="1.9"/>
        <n v="1"/>
        <n v="1.2"/>
        <n v="0.9"/>
        <n v="2.8"/>
        <n v="1.3"/>
        <n v="2"/>
        <n v="1.8"/>
        <n v="2.2000000000000002"/>
        <n v="2.2999999999999998"/>
        <n v="2.7"/>
        <n v="0.7"/>
        <n v="1.7"/>
      </sharedItems>
    </cacheField>
    <cacheField name="academic_performance" numFmtId="0">
      <sharedItems containsSemiMixedTypes="0" containsString="0" containsNumber="1" minValue="2" maxValue="4" count="201">
        <n v="3.01"/>
        <n v="3.22"/>
        <n v="3.92"/>
        <n v="3.48"/>
        <n v="2.37"/>
        <n v="2.63"/>
        <n v="2.4"/>
        <n v="2.04"/>
        <n v="3.77"/>
        <n v="3.16"/>
        <n v="2.02"/>
        <n v="3.29"/>
        <n v="3.5"/>
        <n v="2.99"/>
        <n v="2.59"/>
        <n v="2.11"/>
        <n v="3.08"/>
        <n v="3.85"/>
        <n v="2.2400000000000002"/>
        <n v="2.38"/>
        <n v="3.69"/>
        <n v="2.96"/>
        <n v="2.5299999999999998"/>
        <n v="2.15"/>
        <n v="2.64"/>
        <n v="3.26"/>
        <n v="3.83"/>
        <n v="2.67"/>
        <n v="3.05"/>
        <n v="2.31"/>
        <n v="3.27"/>
        <n v="2.0099999999999998"/>
        <n v="3.96"/>
        <n v="2.84"/>
        <n v="2.4300000000000002"/>
        <n v="2.06"/>
        <n v="3.81"/>
        <n v="3.42"/>
        <n v="3.59"/>
        <n v="3.07"/>
        <n v="2.2200000000000002"/>
        <n v="2.36"/>
        <n v="2.27"/>
        <n v="3.24"/>
        <n v="3.65"/>
        <n v="3.43"/>
        <n v="3.3"/>
        <n v="2.97"/>
        <n v="2.2999999999999998"/>
        <n v="2.65"/>
        <n v="2.0299999999999998"/>
        <n v="2.16"/>
        <n v="3.57"/>
        <n v="3.82"/>
        <n v="3.15"/>
        <n v="2.56"/>
        <n v="2.8"/>
        <n v="3.53"/>
        <n v="2.4500000000000002"/>
        <n v="2.83"/>
        <n v="2.73"/>
        <n v="3"/>
        <n v="3.9"/>
        <n v="2.5499999999999998"/>
        <n v="3.41"/>
        <n v="3.71"/>
        <n v="3.13"/>
        <n v="2.39"/>
        <n v="2.61"/>
        <n v="2.19"/>
        <n v="2.95"/>
        <n v="3.64"/>
        <n v="3.4"/>
        <n v="3.47"/>
        <n v="2.77"/>
        <n v="3.94"/>
        <n v="3.7"/>
        <n v="3.6"/>
        <n v="3.66"/>
        <n v="2.57"/>
        <n v="3.51"/>
        <n v="3.32"/>
        <n v="3.72"/>
        <n v="2.75"/>
        <n v="3.91"/>
        <n v="3.56"/>
        <n v="3.36"/>
        <n v="3.99"/>
        <n v="2.98"/>
        <n v="2.29"/>
        <n v="3.89"/>
        <n v="3.75"/>
        <n v="2.21"/>
        <n v="2.79"/>
        <n v="4"/>
        <n v="3.12"/>
        <n v="2.17"/>
        <n v="3.97"/>
        <n v="3.1"/>
        <n v="3.03"/>
        <n v="3.18"/>
        <n v="2.69"/>
        <n v="3.19"/>
        <n v="2.41"/>
        <n v="2.62"/>
        <n v="3.84"/>
        <n v="2.94"/>
        <n v="3.87"/>
        <n v="2.4700000000000002"/>
        <n v="2.7"/>
        <n v="2.5099999999999998"/>
        <n v="2.14"/>
        <n v="3.25"/>
        <n v="3.55"/>
        <n v="2.5"/>
        <n v="2.91"/>
        <n v="2.3199999999999998"/>
        <n v="3.61"/>
        <n v="3.06"/>
        <n v="3.68"/>
        <n v="2.52"/>
        <n v="3.2"/>
        <n v="3.33"/>
        <n v="3.21"/>
        <n v="3.35"/>
        <n v="2.2599999999999998"/>
        <n v="3.58"/>
        <n v="2.71"/>
        <n v="2.1"/>
        <n v="3.67"/>
        <n v="2.66"/>
        <n v="3.31"/>
        <n v="2.46"/>
        <n v="3.45"/>
        <n v="2.6"/>
        <n v="3.11"/>
        <n v="3.52"/>
        <n v="2.58"/>
        <n v="3.88"/>
        <n v="2.2799999999999998"/>
        <n v="2.76"/>
        <n v="2.09"/>
        <n v="2.48"/>
        <n v="2.23"/>
        <n v="2.54"/>
        <n v="2.13"/>
        <n v="3.54"/>
        <n v="3.79"/>
        <n v="2.93"/>
        <n v="3.28"/>
        <n v="2.2000000000000002"/>
        <n v="2.44"/>
        <n v="3.04"/>
        <n v="2.78"/>
        <n v="2.85"/>
        <n v="3.34"/>
        <n v="2.42"/>
        <n v="2.72"/>
        <n v="3.17"/>
        <n v="3.49"/>
        <n v="2.74"/>
        <n v="3.62"/>
        <n v="2.92"/>
        <n v="2.4900000000000002"/>
        <n v="3.8"/>
        <n v="3.93"/>
        <n v="2.0699999999999998"/>
        <n v="2.0499999999999998"/>
        <n v="2.12"/>
        <n v="2.82"/>
        <n v="2.68"/>
        <n v="2.81"/>
        <n v="2.34"/>
        <n v="3.39"/>
        <n v="3.86"/>
        <n v="3.37"/>
        <n v="3.46"/>
        <n v="2.1800000000000002"/>
        <n v="3.73"/>
        <n v="2.33"/>
        <n v="3.95"/>
        <n v="3.09"/>
        <n v="2.88"/>
        <n v="2.89"/>
        <n v="2.86"/>
        <n v="3.98"/>
        <n v="2.08"/>
        <n v="2.87"/>
        <n v="2.35"/>
        <n v="3.44"/>
        <n v="2.25"/>
        <n v="3.76"/>
        <n v="3.63"/>
        <n v="3.38"/>
        <n v="2.9"/>
        <n v="3.02"/>
        <n v="3.74"/>
        <n v="3.78"/>
        <n v="3.14"/>
        <n v="2"/>
        <n v="3.23"/>
      </sharedItems>
    </cacheField>
    <cacheField name="physical_activity" numFmtId="0">
      <sharedItems containsSemiMixedTypes="0" containsString="0" containsNumber="1" minValue="0" maxValue="2" count="21">
        <n v="1.5"/>
        <n v="0.8"/>
        <n v="0"/>
        <n v="1.4"/>
        <n v="0.6"/>
        <n v="0.7"/>
        <n v="1.3"/>
        <n v="0.9"/>
        <n v="1.1000000000000001"/>
        <n v="1.2"/>
        <n v="1.7"/>
        <n v="0.3"/>
        <n v="0.5"/>
        <n v="1.9"/>
        <n v="0.4"/>
        <n v="0.1"/>
        <n v="1.6"/>
        <n v="1.8"/>
        <n v="0.2"/>
        <n v="1"/>
        <n v="2"/>
      </sharedItems>
    </cacheField>
    <cacheField name="social_interaction_level" numFmtId="0">
      <sharedItems count="3">
        <s v="low"/>
        <s v="high"/>
        <s v="medium"/>
      </sharedItems>
    </cacheField>
    <cacheField name="stress_level" numFmtId="0">
      <sharedItems containsSemiMixedTypes="0" containsString="0" containsNumber="1" containsInteger="1" minValue="1" maxValue="10" count="10">
        <n v="2"/>
        <n v="8"/>
        <n v="1"/>
        <n v="3"/>
        <n v="6"/>
        <n v="5"/>
        <n v="4"/>
        <n v="10"/>
        <n v="9"/>
        <n v="7"/>
      </sharedItems>
    </cacheField>
    <cacheField name="anxiety_level" numFmtId="0">
      <sharedItems containsSemiMixedTypes="0" containsString="0" containsNumber="1" containsInteger="1" minValue="1" maxValue="10" count="10">
        <n v="2"/>
        <n v="1"/>
        <n v="4"/>
        <n v="7"/>
        <n v="5"/>
        <n v="10"/>
        <n v="8"/>
        <n v="9"/>
        <n v="6"/>
        <n v="3"/>
      </sharedItems>
    </cacheField>
    <cacheField name="addiction_level" numFmtId="0">
      <sharedItems containsSemiMixedTypes="0" containsString="0" containsNumber="1" containsInteger="1" minValue="1" maxValue="10" count="10">
        <n v="1"/>
        <n v="10"/>
        <n v="2"/>
        <n v="9"/>
        <n v="7"/>
        <n v="5"/>
        <n v="4"/>
        <n v="8"/>
        <n v="6"/>
        <n v="3"/>
      </sharedItems>
    </cacheField>
    <cacheField name="depression_label"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x v="0"/>
    <x v="0"/>
    <x v="0"/>
    <x v="0"/>
    <x v="0"/>
    <x v="0"/>
    <x v="0"/>
  </r>
  <r>
    <x v="1"/>
    <x v="1"/>
    <x v="1"/>
    <x v="1"/>
    <x v="1"/>
    <x v="0"/>
    <x v="1"/>
    <x v="1"/>
    <x v="1"/>
    <x v="1"/>
    <x v="1"/>
    <x v="1"/>
    <x v="0"/>
  </r>
  <r>
    <x v="2"/>
    <x v="1"/>
    <x v="2"/>
    <x v="0"/>
    <x v="2"/>
    <x v="1"/>
    <x v="2"/>
    <x v="2"/>
    <x v="1"/>
    <x v="0"/>
    <x v="2"/>
    <x v="2"/>
    <x v="0"/>
  </r>
  <r>
    <x v="3"/>
    <x v="0"/>
    <x v="3"/>
    <x v="1"/>
    <x v="3"/>
    <x v="2"/>
    <x v="3"/>
    <x v="1"/>
    <x v="2"/>
    <x v="2"/>
    <x v="3"/>
    <x v="3"/>
    <x v="0"/>
  </r>
  <r>
    <x v="3"/>
    <x v="1"/>
    <x v="4"/>
    <x v="2"/>
    <x v="4"/>
    <x v="3"/>
    <x v="4"/>
    <x v="3"/>
    <x v="2"/>
    <x v="3"/>
    <x v="4"/>
    <x v="2"/>
    <x v="0"/>
  </r>
  <r>
    <x v="1"/>
    <x v="1"/>
    <x v="3"/>
    <x v="2"/>
    <x v="5"/>
    <x v="4"/>
    <x v="5"/>
    <x v="4"/>
    <x v="1"/>
    <x v="3"/>
    <x v="4"/>
    <x v="4"/>
    <x v="0"/>
  </r>
  <r>
    <x v="4"/>
    <x v="1"/>
    <x v="5"/>
    <x v="0"/>
    <x v="6"/>
    <x v="4"/>
    <x v="5"/>
    <x v="5"/>
    <x v="0"/>
    <x v="0"/>
    <x v="0"/>
    <x v="5"/>
    <x v="0"/>
  </r>
  <r>
    <x v="5"/>
    <x v="0"/>
    <x v="6"/>
    <x v="2"/>
    <x v="7"/>
    <x v="1"/>
    <x v="6"/>
    <x v="6"/>
    <x v="0"/>
    <x v="4"/>
    <x v="5"/>
    <x v="5"/>
    <x v="0"/>
  </r>
  <r>
    <x v="1"/>
    <x v="1"/>
    <x v="7"/>
    <x v="1"/>
    <x v="8"/>
    <x v="5"/>
    <x v="7"/>
    <x v="7"/>
    <x v="1"/>
    <x v="2"/>
    <x v="5"/>
    <x v="3"/>
    <x v="0"/>
  </r>
  <r>
    <x v="3"/>
    <x v="0"/>
    <x v="1"/>
    <x v="1"/>
    <x v="4"/>
    <x v="6"/>
    <x v="8"/>
    <x v="8"/>
    <x v="1"/>
    <x v="2"/>
    <x v="1"/>
    <x v="6"/>
    <x v="0"/>
  </r>
  <r>
    <x v="5"/>
    <x v="0"/>
    <x v="8"/>
    <x v="2"/>
    <x v="9"/>
    <x v="0"/>
    <x v="9"/>
    <x v="9"/>
    <x v="2"/>
    <x v="5"/>
    <x v="6"/>
    <x v="3"/>
    <x v="0"/>
  </r>
  <r>
    <x v="6"/>
    <x v="0"/>
    <x v="9"/>
    <x v="0"/>
    <x v="10"/>
    <x v="7"/>
    <x v="2"/>
    <x v="9"/>
    <x v="0"/>
    <x v="2"/>
    <x v="5"/>
    <x v="7"/>
    <x v="0"/>
  </r>
  <r>
    <x v="5"/>
    <x v="0"/>
    <x v="10"/>
    <x v="2"/>
    <x v="11"/>
    <x v="8"/>
    <x v="10"/>
    <x v="10"/>
    <x v="2"/>
    <x v="5"/>
    <x v="3"/>
    <x v="8"/>
    <x v="0"/>
  </r>
  <r>
    <x v="2"/>
    <x v="1"/>
    <x v="11"/>
    <x v="1"/>
    <x v="12"/>
    <x v="9"/>
    <x v="11"/>
    <x v="6"/>
    <x v="2"/>
    <x v="2"/>
    <x v="5"/>
    <x v="1"/>
    <x v="0"/>
  </r>
  <r>
    <x v="3"/>
    <x v="0"/>
    <x v="12"/>
    <x v="1"/>
    <x v="13"/>
    <x v="10"/>
    <x v="12"/>
    <x v="5"/>
    <x v="0"/>
    <x v="2"/>
    <x v="7"/>
    <x v="0"/>
    <x v="0"/>
  </r>
  <r>
    <x v="0"/>
    <x v="1"/>
    <x v="13"/>
    <x v="2"/>
    <x v="14"/>
    <x v="11"/>
    <x v="13"/>
    <x v="11"/>
    <x v="1"/>
    <x v="6"/>
    <x v="5"/>
    <x v="2"/>
    <x v="0"/>
  </r>
  <r>
    <x v="6"/>
    <x v="0"/>
    <x v="14"/>
    <x v="2"/>
    <x v="7"/>
    <x v="12"/>
    <x v="14"/>
    <x v="12"/>
    <x v="1"/>
    <x v="6"/>
    <x v="4"/>
    <x v="7"/>
    <x v="0"/>
  </r>
  <r>
    <x v="5"/>
    <x v="0"/>
    <x v="15"/>
    <x v="2"/>
    <x v="15"/>
    <x v="10"/>
    <x v="15"/>
    <x v="13"/>
    <x v="1"/>
    <x v="7"/>
    <x v="3"/>
    <x v="1"/>
    <x v="0"/>
  </r>
  <r>
    <x v="5"/>
    <x v="1"/>
    <x v="16"/>
    <x v="2"/>
    <x v="16"/>
    <x v="13"/>
    <x v="16"/>
    <x v="3"/>
    <x v="1"/>
    <x v="7"/>
    <x v="7"/>
    <x v="0"/>
    <x v="0"/>
  </r>
  <r>
    <x v="0"/>
    <x v="1"/>
    <x v="17"/>
    <x v="0"/>
    <x v="2"/>
    <x v="14"/>
    <x v="17"/>
    <x v="1"/>
    <x v="1"/>
    <x v="1"/>
    <x v="2"/>
    <x v="8"/>
    <x v="0"/>
  </r>
  <r>
    <x v="5"/>
    <x v="0"/>
    <x v="18"/>
    <x v="1"/>
    <x v="17"/>
    <x v="5"/>
    <x v="18"/>
    <x v="14"/>
    <x v="1"/>
    <x v="6"/>
    <x v="1"/>
    <x v="9"/>
    <x v="0"/>
  </r>
  <r>
    <x v="4"/>
    <x v="0"/>
    <x v="19"/>
    <x v="2"/>
    <x v="0"/>
    <x v="4"/>
    <x v="19"/>
    <x v="0"/>
    <x v="2"/>
    <x v="1"/>
    <x v="2"/>
    <x v="3"/>
    <x v="0"/>
  </r>
  <r>
    <x v="4"/>
    <x v="0"/>
    <x v="20"/>
    <x v="0"/>
    <x v="4"/>
    <x v="15"/>
    <x v="20"/>
    <x v="9"/>
    <x v="0"/>
    <x v="5"/>
    <x v="2"/>
    <x v="5"/>
    <x v="0"/>
  </r>
  <r>
    <x v="4"/>
    <x v="1"/>
    <x v="21"/>
    <x v="1"/>
    <x v="2"/>
    <x v="1"/>
    <x v="21"/>
    <x v="10"/>
    <x v="2"/>
    <x v="8"/>
    <x v="6"/>
    <x v="4"/>
    <x v="0"/>
  </r>
  <r>
    <x v="4"/>
    <x v="1"/>
    <x v="22"/>
    <x v="2"/>
    <x v="18"/>
    <x v="13"/>
    <x v="22"/>
    <x v="14"/>
    <x v="1"/>
    <x v="1"/>
    <x v="6"/>
    <x v="2"/>
    <x v="0"/>
  </r>
  <r>
    <x v="6"/>
    <x v="1"/>
    <x v="14"/>
    <x v="2"/>
    <x v="11"/>
    <x v="7"/>
    <x v="23"/>
    <x v="6"/>
    <x v="2"/>
    <x v="6"/>
    <x v="8"/>
    <x v="2"/>
    <x v="0"/>
  </r>
  <r>
    <x v="0"/>
    <x v="1"/>
    <x v="12"/>
    <x v="2"/>
    <x v="19"/>
    <x v="11"/>
    <x v="24"/>
    <x v="15"/>
    <x v="0"/>
    <x v="1"/>
    <x v="7"/>
    <x v="6"/>
    <x v="0"/>
  </r>
  <r>
    <x v="1"/>
    <x v="0"/>
    <x v="23"/>
    <x v="1"/>
    <x v="20"/>
    <x v="16"/>
    <x v="25"/>
    <x v="16"/>
    <x v="1"/>
    <x v="9"/>
    <x v="4"/>
    <x v="3"/>
    <x v="0"/>
  </r>
  <r>
    <x v="0"/>
    <x v="0"/>
    <x v="5"/>
    <x v="1"/>
    <x v="21"/>
    <x v="0"/>
    <x v="18"/>
    <x v="12"/>
    <x v="0"/>
    <x v="3"/>
    <x v="7"/>
    <x v="5"/>
    <x v="0"/>
  </r>
  <r>
    <x v="5"/>
    <x v="1"/>
    <x v="18"/>
    <x v="1"/>
    <x v="22"/>
    <x v="17"/>
    <x v="26"/>
    <x v="17"/>
    <x v="2"/>
    <x v="4"/>
    <x v="8"/>
    <x v="6"/>
    <x v="0"/>
  </r>
  <r>
    <x v="6"/>
    <x v="0"/>
    <x v="24"/>
    <x v="1"/>
    <x v="12"/>
    <x v="7"/>
    <x v="27"/>
    <x v="8"/>
    <x v="0"/>
    <x v="0"/>
    <x v="1"/>
    <x v="1"/>
    <x v="0"/>
  </r>
  <r>
    <x v="6"/>
    <x v="1"/>
    <x v="25"/>
    <x v="0"/>
    <x v="19"/>
    <x v="7"/>
    <x v="20"/>
    <x v="14"/>
    <x v="1"/>
    <x v="1"/>
    <x v="0"/>
    <x v="3"/>
    <x v="0"/>
  </r>
  <r>
    <x v="5"/>
    <x v="0"/>
    <x v="26"/>
    <x v="0"/>
    <x v="7"/>
    <x v="4"/>
    <x v="28"/>
    <x v="18"/>
    <x v="1"/>
    <x v="2"/>
    <x v="6"/>
    <x v="6"/>
    <x v="0"/>
  </r>
  <r>
    <x v="0"/>
    <x v="0"/>
    <x v="19"/>
    <x v="1"/>
    <x v="1"/>
    <x v="3"/>
    <x v="29"/>
    <x v="1"/>
    <x v="0"/>
    <x v="1"/>
    <x v="2"/>
    <x v="0"/>
    <x v="0"/>
  </r>
  <r>
    <x v="6"/>
    <x v="1"/>
    <x v="24"/>
    <x v="1"/>
    <x v="23"/>
    <x v="2"/>
    <x v="30"/>
    <x v="15"/>
    <x v="2"/>
    <x v="7"/>
    <x v="0"/>
    <x v="0"/>
    <x v="0"/>
  </r>
  <r>
    <x v="2"/>
    <x v="1"/>
    <x v="27"/>
    <x v="2"/>
    <x v="4"/>
    <x v="5"/>
    <x v="31"/>
    <x v="19"/>
    <x v="0"/>
    <x v="8"/>
    <x v="2"/>
    <x v="3"/>
    <x v="0"/>
  </r>
  <r>
    <x v="1"/>
    <x v="1"/>
    <x v="28"/>
    <x v="0"/>
    <x v="24"/>
    <x v="7"/>
    <x v="32"/>
    <x v="1"/>
    <x v="1"/>
    <x v="3"/>
    <x v="5"/>
    <x v="4"/>
    <x v="0"/>
  </r>
  <r>
    <x v="2"/>
    <x v="1"/>
    <x v="29"/>
    <x v="0"/>
    <x v="5"/>
    <x v="18"/>
    <x v="10"/>
    <x v="12"/>
    <x v="0"/>
    <x v="5"/>
    <x v="5"/>
    <x v="8"/>
    <x v="0"/>
  </r>
  <r>
    <x v="2"/>
    <x v="1"/>
    <x v="2"/>
    <x v="1"/>
    <x v="1"/>
    <x v="19"/>
    <x v="33"/>
    <x v="17"/>
    <x v="1"/>
    <x v="2"/>
    <x v="3"/>
    <x v="7"/>
    <x v="0"/>
  </r>
  <r>
    <x v="2"/>
    <x v="1"/>
    <x v="30"/>
    <x v="0"/>
    <x v="25"/>
    <x v="14"/>
    <x v="34"/>
    <x v="9"/>
    <x v="1"/>
    <x v="2"/>
    <x v="5"/>
    <x v="3"/>
    <x v="0"/>
  </r>
  <r>
    <x v="0"/>
    <x v="0"/>
    <x v="31"/>
    <x v="0"/>
    <x v="12"/>
    <x v="16"/>
    <x v="35"/>
    <x v="17"/>
    <x v="1"/>
    <x v="7"/>
    <x v="2"/>
    <x v="2"/>
    <x v="0"/>
  </r>
  <r>
    <x v="1"/>
    <x v="0"/>
    <x v="25"/>
    <x v="0"/>
    <x v="26"/>
    <x v="4"/>
    <x v="36"/>
    <x v="14"/>
    <x v="0"/>
    <x v="7"/>
    <x v="2"/>
    <x v="0"/>
    <x v="0"/>
  </r>
  <r>
    <x v="0"/>
    <x v="1"/>
    <x v="32"/>
    <x v="0"/>
    <x v="27"/>
    <x v="12"/>
    <x v="37"/>
    <x v="11"/>
    <x v="2"/>
    <x v="4"/>
    <x v="1"/>
    <x v="7"/>
    <x v="0"/>
  </r>
  <r>
    <x v="3"/>
    <x v="0"/>
    <x v="6"/>
    <x v="2"/>
    <x v="28"/>
    <x v="18"/>
    <x v="38"/>
    <x v="13"/>
    <x v="2"/>
    <x v="7"/>
    <x v="8"/>
    <x v="1"/>
    <x v="0"/>
  </r>
  <r>
    <x v="0"/>
    <x v="0"/>
    <x v="33"/>
    <x v="2"/>
    <x v="29"/>
    <x v="5"/>
    <x v="39"/>
    <x v="18"/>
    <x v="2"/>
    <x v="8"/>
    <x v="9"/>
    <x v="7"/>
    <x v="0"/>
  </r>
  <r>
    <x v="0"/>
    <x v="1"/>
    <x v="34"/>
    <x v="1"/>
    <x v="30"/>
    <x v="16"/>
    <x v="40"/>
    <x v="1"/>
    <x v="0"/>
    <x v="2"/>
    <x v="2"/>
    <x v="1"/>
    <x v="0"/>
  </r>
  <r>
    <x v="4"/>
    <x v="0"/>
    <x v="11"/>
    <x v="1"/>
    <x v="26"/>
    <x v="9"/>
    <x v="41"/>
    <x v="16"/>
    <x v="1"/>
    <x v="2"/>
    <x v="5"/>
    <x v="1"/>
    <x v="0"/>
  </r>
  <r>
    <x v="6"/>
    <x v="1"/>
    <x v="35"/>
    <x v="0"/>
    <x v="31"/>
    <x v="9"/>
    <x v="42"/>
    <x v="17"/>
    <x v="2"/>
    <x v="0"/>
    <x v="4"/>
    <x v="8"/>
    <x v="0"/>
  </r>
  <r>
    <x v="5"/>
    <x v="0"/>
    <x v="21"/>
    <x v="1"/>
    <x v="32"/>
    <x v="3"/>
    <x v="43"/>
    <x v="13"/>
    <x v="2"/>
    <x v="6"/>
    <x v="2"/>
    <x v="3"/>
    <x v="0"/>
  </r>
  <r>
    <x v="0"/>
    <x v="0"/>
    <x v="17"/>
    <x v="0"/>
    <x v="33"/>
    <x v="20"/>
    <x v="44"/>
    <x v="17"/>
    <x v="1"/>
    <x v="5"/>
    <x v="5"/>
    <x v="1"/>
    <x v="0"/>
  </r>
  <r>
    <x v="6"/>
    <x v="0"/>
    <x v="10"/>
    <x v="2"/>
    <x v="20"/>
    <x v="21"/>
    <x v="45"/>
    <x v="18"/>
    <x v="2"/>
    <x v="5"/>
    <x v="0"/>
    <x v="2"/>
    <x v="0"/>
  </r>
  <r>
    <x v="4"/>
    <x v="0"/>
    <x v="34"/>
    <x v="1"/>
    <x v="29"/>
    <x v="13"/>
    <x v="37"/>
    <x v="15"/>
    <x v="2"/>
    <x v="4"/>
    <x v="3"/>
    <x v="7"/>
    <x v="0"/>
  </r>
  <r>
    <x v="4"/>
    <x v="0"/>
    <x v="36"/>
    <x v="0"/>
    <x v="34"/>
    <x v="7"/>
    <x v="9"/>
    <x v="6"/>
    <x v="0"/>
    <x v="3"/>
    <x v="3"/>
    <x v="7"/>
    <x v="0"/>
  </r>
  <r>
    <x v="6"/>
    <x v="1"/>
    <x v="37"/>
    <x v="1"/>
    <x v="33"/>
    <x v="22"/>
    <x v="46"/>
    <x v="13"/>
    <x v="1"/>
    <x v="2"/>
    <x v="1"/>
    <x v="5"/>
    <x v="0"/>
  </r>
  <r>
    <x v="4"/>
    <x v="0"/>
    <x v="11"/>
    <x v="0"/>
    <x v="35"/>
    <x v="23"/>
    <x v="47"/>
    <x v="13"/>
    <x v="0"/>
    <x v="6"/>
    <x v="2"/>
    <x v="5"/>
    <x v="0"/>
  </r>
  <r>
    <x v="3"/>
    <x v="1"/>
    <x v="3"/>
    <x v="0"/>
    <x v="26"/>
    <x v="16"/>
    <x v="48"/>
    <x v="2"/>
    <x v="0"/>
    <x v="2"/>
    <x v="4"/>
    <x v="9"/>
    <x v="0"/>
  </r>
  <r>
    <x v="4"/>
    <x v="0"/>
    <x v="34"/>
    <x v="1"/>
    <x v="8"/>
    <x v="7"/>
    <x v="49"/>
    <x v="5"/>
    <x v="2"/>
    <x v="1"/>
    <x v="7"/>
    <x v="0"/>
    <x v="0"/>
  </r>
  <r>
    <x v="5"/>
    <x v="0"/>
    <x v="31"/>
    <x v="1"/>
    <x v="14"/>
    <x v="4"/>
    <x v="50"/>
    <x v="10"/>
    <x v="2"/>
    <x v="9"/>
    <x v="4"/>
    <x v="1"/>
    <x v="0"/>
  </r>
  <r>
    <x v="6"/>
    <x v="0"/>
    <x v="32"/>
    <x v="2"/>
    <x v="7"/>
    <x v="18"/>
    <x v="51"/>
    <x v="19"/>
    <x v="1"/>
    <x v="6"/>
    <x v="4"/>
    <x v="2"/>
    <x v="0"/>
  </r>
  <r>
    <x v="2"/>
    <x v="1"/>
    <x v="38"/>
    <x v="0"/>
    <x v="21"/>
    <x v="11"/>
    <x v="39"/>
    <x v="19"/>
    <x v="2"/>
    <x v="2"/>
    <x v="9"/>
    <x v="4"/>
    <x v="0"/>
  </r>
  <r>
    <x v="4"/>
    <x v="0"/>
    <x v="25"/>
    <x v="1"/>
    <x v="31"/>
    <x v="23"/>
    <x v="52"/>
    <x v="1"/>
    <x v="1"/>
    <x v="3"/>
    <x v="7"/>
    <x v="4"/>
    <x v="0"/>
  </r>
  <r>
    <x v="3"/>
    <x v="1"/>
    <x v="14"/>
    <x v="0"/>
    <x v="10"/>
    <x v="14"/>
    <x v="53"/>
    <x v="4"/>
    <x v="2"/>
    <x v="4"/>
    <x v="1"/>
    <x v="6"/>
    <x v="0"/>
  </r>
  <r>
    <x v="6"/>
    <x v="0"/>
    <x v="39"/>
    <x v="2"/>
    <x v="9"/>
    <x v="24"/>
    <x v="54"/>
    <x v="15"/>
    <x v="2"/>
    <x v="9"/>
    <x v="0"/>
    <x v="0"/>
    <x v="0"/>
  </r>
  <r>
    <x v="2"/>
    <x v="0"/>
    <x v="5"/>
    <x v="2"/>
    <x v="18"/>
    <x v="19"/>
    <x v="55"/>
    <x v="10"/>
    <x v="1"/>
    <x v="5"/>
    <x v="3"/>
    <x v="5"/>
    <x v="0"/>
  </r>
  <r>
    <x v="1"/>
    <x v="1"/>
    <x v="0"/>
    <x v="1"/>
    <x v="31"/>
    <x v="25"/>
    <x v="56"/>
    <x v="1"/>
    <x v="0"/>
    <x v="4"/>
    <x v="1"/>
    <x v="7"/>
    <x v="0"/>
  </r>
  <r>
    <x v="2"/>
    <x v="0"/>
    <x v="26"/>
    <x v="0"/>
    <x v="1"/>
    <x v="8"/>
    <x v="57"/>
    <x v="13"/>
    <x v="1"/>
    <x v="2"/>
    <x v="6"/>
    <x v="4"/>
    <x v="0"/>
  </r>
  <r>
    <x v="6"/>
    <x v="0"/>
    <x v="15"/>
    <x v="1"/>
    <x v="36"/>
    <x v="6"/>
    <x v="58"/>
    <x v="11"/>
    <x v="0"/>
    <x v="5"/>
    <x v="6"/>
    <x v="8"/>
    <x v="0"/>
  </r>
  <r>
    <x v="2"/>
    <x v="0"/>
    <x v="37"/>
    <x v="2"/>
    <x v="2"/>
    <x v="24"/>
    <x v="59"/>
    <x v="19"/>
    <x v="2"/>
    <x v="9"/>
    <x v="8"/>
    <x v="7"/>
    <x v="0"/>
  </r>
  <r>
    <x v="0"/>
    <x v="1"/>
    <x v="40"/>
    <x v="2"/>
    <x v="37"/>
    <x v="17"/>
    <x v="56"/>
    <x v="15"/>
    <x v="0"/>
    <x v="1"/>
    <x v="0"/>
    <x v="7"/>
    <x v="0"/>
  </r>
  <r>
    <x v="3"/>
    <x v="0"/>
    <x v="41"/>
    <x v="2"/>
    <x v="37"/>
    <x v="16"/>
    <x v="3"/>
    <x v="8"/>
    <x v="1"/>
    <x v="0"/>
    <x v="0"/>
    <x v="8"/>
    <x v="0"/>
  </r>
  <r>
    <x v="0"/>
    <x v="0"/>
    <x v="33"/>
    <x v="2"/>
    <x v="18"/>
    <x v="19"/>
    <x v="3"/>
    <x v="19"/>
    <x v="2"/>
    <x v="0"/>
    <x v="1"/>
    <x v="5"/>
    <x v="0"/>
  </r>
  <r>
    <x v="5"/>
    <x v="1"/>
    <x v="15"/>
    <x v="1"/>
    <x v="8"/>
    <x v="9"/>
    <x v="60"/>
    <x v="16"/>
    <x v="0"/>
    <x v="0"/>
    <x v="6"/>
    <x v="0"/>
    <x v="0"/>
  </r>
  <r>
    <x v="5"/>
    <x v="1"/>
    <x v="23"/>
    <x v="0"/>
    <x v="19"/>
    <x v="15"/>
    <x v="61"/>
    <x v="2"/>
    <x v="0"/>
    <x v="1"/>
    <x v="6"/>
    <x v="6"/>
    <x v="0"/>
  </r>
  <r>
    <x v="0"/>
    <x v="0"/>
    <x v="26"/>
    <x v="0"/>
    <x v="38"/>
    <x v="18"/>
    <x v="31"/>
    <x v="4"/>
    <x v="0"/>
    <x v="4"/>
    <x v="9"/>
    <x v="7"/>
    <x v="0"/>
  </r>
  <r>
    <x v="0"/>
    <x v="0"/>
    <x v="14"/>
    <x v="2"/>
    <x v="39"/>
    <x v="5"/>
    <x v="62"/>
    <x v="0"/>
    <x v="0"/>
    <x v="7"/>
    <x v="0"/>
    <x v="6"/>
    <x v="0"/>
  </r>
  <r>
    <x v="2"/>
    <x v="1"/>
    <x v="42"/>
    <x v="0"/>
    <x v="36"/>
    <x v="10"/>
    <x v="41"/>
    <x v="2"/>
    <x v="2"/>
    <x v="7"/>
    <x v="5"/>
    <x v="4"/>
    <x v="0"/>
  </r>
  <r>
    <x v="6"/>
    <x v="0"/>
    <x v="43"/>
    <x v="1"/>
    <x v="20"/>
    <x v="20"/>
    <x v="63"/>
    <x v="1"/>
    <x v="1"/>
    <x v="5"/>
    <x v="4"/>
    <x v="1"/>
    <x v="0"/>
  </r>
  <r>
    <x v="6"/>
    <x v="0"/>
    <x v="18"/>
    <x v="1"/>
    <x v="5"/>
    <x v="11"/>
    <x v="64"/>
    <x v="18"/>
    <x v="0"/>
    <x v="1"/>
    <x v="8"/>
    <x v="9"/>
    <x v="0"/>
  </r>
  <r>
    <x v="3"/>
    <x v="0"/>
    <x v="16"/>
    <x v="2"/>
    <x v="34"/>
    <x v="5"/>
    <x v="65"/>
    <x v="6"/>
    <x v="1"/>
    <x v="3"/>
    <x v="9"/>
    <x v="9"/>
    <x v="0"/>
  </r>
  <r>
    <x v="4"/>
    <x v="0"/>
    <x v="43"/>
    <x v="2"/>
    <x v="11"/>
    <x v="14"/>
    <x v="66"/>
    <x v="4"/>
    <x v="2"/>
    <x v="0"/>
    <x v="1"/>
    <x v="6"/>
    <x v="0"/>
  </r>
  <r>
    <x v="4"/>
    <x v="1"/>
    <x v="3"/>
    <x v="0"/>
    <x v="40"/>
    <x v="22"/>
    <x v="67"/>
    <x v="7"/>
    <x v="1"/>
    <x v="6"/>
    <x v="1"/>
    <x v="6"/>
    <x v="0"/>
  </r>
  <r>
    <x v="1"/>
    <x v="1"/>
    <x v="29"/>
    <x v="1"/>
    <x v="41"/>
    <x v="6"/>
    <x v="68"/>
    <x v="9"/>
    <x v="1"/>
    <x v="0"/>
    <x v="0"/>
    <x v="8"/>
    <x v="0"/>
  </r>
  <r>
    <x v="0"/>
    <x v="0"/>
    <x v="17"/>
    <x v="2"/>
    <x v="42"/>
    <x v="21"/>
    <x v="69"/>
    <x v="13"/>
    <x v="2"/>
    <x v="8"/>
    <x v="7"/>
    <x v="6"/>
    <x v="0"/>
  </r>
  <r>
    <x v="6"/>
    <x v="0"/>
    <x v="3"/>
    <x v="0"/>
    <x v="21"/>
    <x v="12"/>
    <x v="70"/>
    <x v="10"/>
    <x v="1"/>
    <x v="1"/>
    <x v="4"/>
    <x v="5"/>
    <x v="0"/>
  </r>
  <r>
    <x v="5"/>
    <x v="1"/>
    <x v="44"/>
    <x v="2"/>
    <x v="26"/>
    <x v="18"/>
    <x v="71"/>
    <x v="16"/>
    <x v="1"/>
    <x v="5"/>
    <x v="9"/>
    <x v="0"/>
    <x v="0"/>
  </r>
  <r>
    <x v="2"/>
    <x v="1"/>
    <x v="27"/>
    <x v="2"/>
    <x v="43"/>
    <x v="7"/>
    <x v="72"/>
    <x v="7"/>
    <x v="1"/>
    <x v="1"/>
    <x v="5"/>
    <x v="5"/>
    <x v="0"/>
  </r>
  <r>
    <x v="4"/>
    <x v="0"/>
    <x v="41"/>
    <x v="0"/>
    <x v="0"/>
    <x v="20"/>
    <x v="73"/>
    <x v="2"/>
    <x v="0"/>
    <x v="8"/>
    <x v="2"/>
    <x v="2"/>
    <x v="0"/>
  </r>
  <r>
    <x v="2"/>
    <x v="1"/>
    <x v="45"/>
    <x v="2"/>
    <x v="12"/>
    <x v="7"/>
    <x v="66"/>
    <x v="13"/>
    <x v="2"/>
    <x v="5"/>
    <x v="5"/>
    <x v="9"/>
    <x v="0"/>
  </r>
  <r>
    <x v="2"/>
    <x v="1"/>
    <x v="46"/>
    <x v="0"/>
    <x v="14"/>
    <x v="25"/>
    <x v="74"/>
    <x v="7"/>
    <x v="2"/>
    <x v="1"/>
    <x v="2"/>
    <x v="7"/>
    <x v="0"/>
  </r>
  <r>
    <x v="4"/>
    <x v="0"/>
    <x v="10"/>
    <x v="0"/>
    <x v="29"/>
    <x v="17"/>
    <x v="64"/>
    <x v="8"/>
    <x v="2"/>
    <x v="9"/>
    <x v="6"/>
    <x v="0"/>
    <x v="1"/>
  </r>
  <r>
    <x v="2"/>
    <x v="1"/>
    <x v="4"/>
    <x v="0"/>
    <x v="10"/>
    <x v="4"/>
    <x v="75"/>
    <x v="2"/>
    <x v="2"/>
    <x v="7"/>
    <x v="4"/>
    <x v="7"/>
    <x v="0"/>
  </r>
  <r>
    <x v="4"/>
    <x v="1"/>
    <x v="6"/>
    <x v="0"/>
    <x v="17"/>
    <x v="21"/>
    <x v="76"/>
    <x v="4"/>
    <x v="2"/>
    <x v="6"/>
    <x v="1"/>
    <x v="6"/>
    <x v="0"/>
  </r>
  <r>
    <x v="4"/>
    <x v="0"/>
    <x v="10"/>
    <x v="1"/>
    <x v="26"/>
    <x v="6"/>
    <x v="1"/>
    <x v="16"/>
    <x v="0"/>
    <x v="6"/>
    <x v="4"/>
    <x v="4"/>
    <x v="0"/>
  </r>
  <r>
    <x v="2"/>
    <x v="1"/>
    <x v="46"/>
    <x v="1"/>
    <x v="16"/>
    <x v="19"/>
    <x v="40"/>
    <x v="19"/>
    <x v="2"/>
    <x v="4"/>
    <x v="7"/>
    <x v="7"/>
    <x v="0"/>
  </r>
  <r>
    <x v="6"/>
    <x v="1"/>
    <x v="6"/>
    <x v="0"/>
    <x v="5"/>
    <x v="7"/>
    <x v="77"/>
    <x v="3"/>
    <x v="2"/>
    <x v="9"/>
    <x v="0"/>
    <x v="1"/>
    <x v="0"/>
  </r>
  <r>
    <x v="3"/>
    <x v="1"/>
    <x v="47"/>
    <x v="0"/>
    <x v="6"/>
    <x v="4"/>
    <x v="51"/>
    <x v="13"/>
    <x v="2"/>
    <x v="3"/>
    <x v="8"/>
    <x v="3"/>
    <x v="0"/>
  </r>
  <r>
    <x v="6"/>
    <x v="0"/>
    <x v="15"/>
    <x v="1"/>
    <x v="44"/>
    <x v="13"/>
    <x v="78"/>
    <x v="14"/>
    <x v="0"/>
    <x v="9"/>
    <x v="2"/>
    <x v="2"/>
    <x v="0"/>
  </r>
  <r>
    <x v="6"/>
    <x v="1"/>
    <x v="35"/>
    <x v="1"/>
    <x v="42"/>
    <x v="7"/>
    <x v="79"/>
    <x v="8"/>
    <x v="1"/>
    <x v="2"/>
    <x v="8"/>
    <x v="9"/>
    <x v="0"/>
  </r>
  <r>
    <x v="4"/>
    <x v="0"/>
    <x v="3"/>
    <x v="1"/>
    <x v="6"/>
    <x v="21"/>
    <x v="80"/>
    <x v="19"/>
    <x v="1"/>
    <x v="6"/>
    <x v="4"/>
    <x v="6"/>
    <x v="0"/>
  </r>
  <r>
    <x v="5"/>
    <x v="0"/>
    <x v="48"/>
    <x v="0"/>
    <x v="24"/>
    <x v="12"/>
    <x v="70"/>
    <x v="11"/>
    <x v="2"/>
    <x v="0"/>
    <x v="4"/>
    <x v="2"/>
    <x v="0"/>
  </r>
  <r>
    <x v="6"/>
    <x v="0"/>
    <x v="49"/>
    <x v="2"/>
    <x v="29"/>
    <x v="2"/>
    <x v="81"/>
    <x v="1"/>
    <x v="2"/>
    <x v="2"/>
    <x v="9"/>
    <x v="7"/>
    <x v="0"/>
  </r>
  <r>
    <x v="4"/>
    <x v="1"/>
    <x v="22"/>
    <x v="0"/>
    <x v="32"/>
    <x v="18"/>
    <x v="28"/>
    <x v="10"/>
    <x v="0"/>
    <x v="0"/>
    <x v="7"/>
    <x v="5"/>
    <x v="0"/>
  </r>
  <r>
    <x v="6"/>
    <x v="0"/>
    <x v="25"/>
    <x v="0"/>
    <x v="7"/>
    <x v="6"/>
    <x v="82"/>
    <x v="10"/>
    <x v="2"/>
    <x v="7"/>
    <x v="1"/>
    <x v="1"/>
    <x v="0"/>
  </r>
  <r>
    <x v="4"/>
    <x v="0"/>
    <x v="37"/>
    <x v="0"/>
    <x v="18"/>
    <x v="13"/>
    <x v="61"/>
    <x v="13"/>
    <x v="0"/>
    <x v="5"/>
    <x v="6"/>
    <x v="2"/>
    <x v="0"/>
  </r>
  <r>
    <x v="3"/>
    <x v="0"/>
    <x v="26"/>
    <x v="1"/>
    <x v="45"/>
    <x v="13"/>
    <x v="83"/>
    <x v="13"/>
    <x v="2"/>
    <x v="3"/>
    <x v="8"/>
    <x v="8"/>
    <x v="0"/>
  </r>
  <r>
    <x v="6"/>
    <x v="1"/>
    <x v="6"/>
    <x v="2"/>
    <x v="34"/>
    <x v="14"/>
    <x v="44"/>
    <x v="17"/>
    <x v="0"/>
    <x v="5"/>
    <x v="8"/>
    <x v="5"/>
    <x v="0"/>
  </r>
  <r>
    <x v="4"/>
    <x v="0"/>
    <x v="50"/>
    <x v="2"/>
    <x v="28"/>
    <x v="15"/>
    <x v="65"/>
    <x v="8"/>
    <x v="2"/>
    <x v="9"/>
    <x v="8"/>
    <x v="1"/>
    <x v="0"/>
  </r>
  <r>
    <x v="6"/>
    <x v="0"/>
    <x v="25"/>
    <x v="1"/>
    <x v="39"/>
    <x v="11"/>
    <x v="84"/>
    <x v="20"/>
    <x v="2"/>
    <x v="5"/>
    <x v="5"/>
    <x v="4"/>
    <x v="0"/>
  </r>
  <r>
    <x v="0"/>
    <x v="0"/>
    <x v="21"/>
    <x v="1"/>
    <x v="1"/>
    <x v="7"/>
    <x v="16"/>
    <x v="10"/>
    <x v="2"/>
    <x v="5"/>
    <x v="8"/>
    <x v="4"/>
    <x v="0"/>
  </r>
  <r>
    <x v="2"/>
    <x v="0"/>
    <x v="51"/>
    <x v="1"/>
    <x v="33"/>
    <x v="15"/>
    <x v="85"/>
    <x v="2"/>
    <x v="2"/>
    <x v="9"/>
    <x v="5"/>
    <x v="4"/>
    <x v="0"/>
  </r>
  <r>
    <x v="5"/>
    <x v="0"/>
    <x v="29"/>
    <x v="2"/>
    <x v="20"/>
    <x v="11"/>
    <x v="86"/>
    <x v="5"/>
    <x v="1"/>
    <x v="9"/>
    <x v="8"/>
    <x v="3"/>
    <x v="0"/>
  </r>
  <r>
    <x v="2"/>
    <x v="1"/>
    <x v="33"/>
    <x v="2"/>
    <x v="41"/>
    <x v="11"/>
    <x v="39"/>
    <x v="4"/>
    <x v="2"/>
    <x v="4"/>
    <x v="0"/>
    <x v="3"/>
    <x v="0"/>
  </r>
  <r>
    <x v="6"/>
    <x v="0"/>
    <x v="12"/>
    <x v="2"/>
    <x v="45"/>
    <x v="4"/>
    <x v="87"/>
    <x v="10"/>
    <x v="1"/>
    <x v="2"/>
    <x v="9"/>
    <x v="0"/>
    <x v="0"/>
  </r>
  <r>
    <x v="3"/>
    <x v="0"/>
    <x v="28"/>
    <x v="1"/>
    <x v="42"/>
    <x v="12"/>
    <x v="88"/>
    <x v="13"/>
    <x v="0"/>
    <x v="2"/>
    <x v="2"/>
    <x v="5"/>
    <x v="0"/>
  </r>
  <r>
    <x v="6"/>
    <x v="0"/>
    <x v="39"/>
    <x v="1"/>
    <x v="40"/>
    <x v="23"/>
    <x v="89"/>
    <x v="1"/>
    <x v="1"/>
    <x v="2"/>
    <x v="5"/>
    <x v="0"/>
    <x v="0"/>
  </r>
  <r>
    <x v="2"/>
    <x v="1"/>
    <x v="19"/>
    <x v="0"/>
    <x v="26"/>
    <x v="3"/>
    <x v="74"/>
    <x v="15"/>
    <x v="2"/>
    <x v="3"/>
    <x v="8"/>
    <x v="0"/>
    <x v="0"/>
  </r>
  <r>
    <x v="3"/>
    <x v="0"/>
    <x v="52"/>
    <x v="2"/>
    <x v="46"/>
    <x v="19"/>
    <x v="90"/>
    <x v="6"/>
    <x v="1"/>
    <x v="1"/>
    <x v="0"/>
    <x v="2"/>
    <x v="0"/>
  </r>
  <r>
    <x v="1"/>
    <x v="1"/>
    <x v="53"/>
    <x v="2"/>
    <x v="28"/>
    <x v="5"/>
    <x v="91"/>
    <x v="6"/>
    <x v="1"/>
    <x v="7"/>
    <x v="7"/>
    <x v="8"/>
    <x v="0"/>
  </r>
  <r>
    <x v="2"/>
    <x v="0"/>
    <x v="52"/>
    <x v="0"/>
    <x v="29"/>
    <x v="23"/>
    <x v="78"/>
    <x v="8"/>
    <x v="2"/>
    <x v="4"/>
    <x v="5"/>
    <x v="1"/>
    <x v="0"/>
  </r>
  <r>
    <x v="2"/>
    <x v="1"/>
    <x v="50"/>
    <x v="1"/>
    <x v="7"/>
    <x v="11"/>
    <x v="92"/>
    <x v="3"/>
    <x v="2"/>
    <x v="4"/>
    <x v="8"/>
    <x v="9"/>
    <x v="0"/>
  </r>
  <r>
    <x v="6"/>
    <x v="0"/>
    <x v="22"/>
    <x v="1"/>
    <x v="29"/>
    <x v="10"/>
    <x v="93"/>
    <x v="8"/>
    <x v="2"/>
    <x v="1"/>
    <x v="8"/>
    <x v="9"/>
    <x v="0"/>
  </r>
  <r>
    <x v="3"/>
    <x v="1"/>
    <x v="6"/>
    <x v="0"/>
    <x v="46"/>
    <x v="5"/>
    <x v="31"/>
    <x v="14"/>
    <x v="2"/>
    <x v="6"/>
    <x v="6"/>
    <x v="7"/>
    <x v="0"/>
  </r>
  <r>
    <x v="2"/>
    <x v="1"/>
    <x v="54"/>
    <x v="2"/>
    <x v="28"/>
    <x v="18"/>
    <x v="94"/>
    <x v="7"/>
    <x v="2"/>
    <x v="1"/>
    <x v="5"/>
    <x v="4"/>
    <x v="0"/>
  </r>
  <r>
    <x v="4"/>
    <x v="0"/>
    <x v="17"/>
    <x v="1"/>
    <x v="1"/>
    <x v="25"/>
    <x v="95"/>
    <x v="15"/>
    <x v="0"/>
    <x v="4"/>
    <x v="2"/>
    <x v="2"/>
    <x v="0"/>
  </r>
  <r>
    <x v="5"/>
    <x v="0"/>
    <x v="12"/>
    <x v="2"/>
    <x v="9"/>
    <x v="17"/>
    <x v="96"/>
    <x v="12"/>
    <x v="2"/>
    <x v="3"/>
    <x v="7"/>
    <x v="2"/>
    <x v="0"/>
  </r>
  <r>
    <x v="1"/>
    <x v="0"/>
    <x v="52"/>
    <x v="2"/>
    <x v="46"/>
    <x v="22"/>
    <x v="92"/>
    <x v="14"/>
    <x v="1"/>
    <x v="1"/>
    <x v="6"/>
    <x v="8"/>
    <x v="0"/>
  </r>
  <r>
    <x v="5"/>
    <x v="0"/>
    <x v="24"/>
    <x v="0"/>
    <x v="21"/>
    <x v="10"/>
    <x v="3"/>
    <x v="10"/>
    <x v="2"/>
    <x v="6"/>
    <x v="9"/>
    <x v="6"/>
    <x v="0"/>
  </r>
  <r>
    <x v="6"/>
    <x v="0"/>
    <x v="54"/>
    <x v="1"/>
    <x v="11"/>
    <x v="6"/>
    <x v="41"/>
    <x v="18"/>
    <x v="0"/>
    <x v="2"/>
    <x v="9"/>
    <x v="6"/>
    <x v="0"/>
  </r>
  <r>
    <x v="4"/>
    <x v="1"/>
    <x v="43"/>
    <x v="2"/>
    <x v="1"/>
    <x v="23"/>
    <x v="7"/>
    <x v="15"/>
    <x v="0"/>
    <x v="9"/>
    <x v="5"/>
    <x v="2"/>
    <x v="0"/>
  </r>
  <r>
    <x v="6"/>
    <x v="1"/>
    <x v="55"/>
    <x v="0"/>
    <x v="47"/>
    <x v="18"/>
    <x v="97"/>
    <x v="18"/>
    <x v="2"/>
    <x v="9"/>
    <x v="5"/>
    <x v="3"/>
    <x v="0"/>
  </r>
  <r>
    <x v="6"/>
    <x v="1"/>
    <x v="4"/>
    <x v="2"/>
    <x v="16"/>
    <x v="25"/>
    <x v="30"/>
    <x v="3"/>
    <x v="0"/>
    <x v="6"/>
    <x v="0"/>
    <x v="6"/>
    <x v="0"/>
  </r>
  <r>
    <x v="3"/>
    <x v="0"/>
    <x v="3"/>
    <x v="1"/>
    <x v="32"/>
    <x v="18"/>
    <x v="73"/>
    <x v="9"/>
    <x v="2"/>
    <x v="2"/>
    <x v="9"/>
    <x v="3"/>
    <x v="0"/>
  </r>
  <r>
    <x v="2"/>
    <x v="0"/>
    <x v="40"/>
    <x v="0"/>
    <x v="20"/>
    <x v="4"/>
    <x v="53"/>
    <x v="1"/>
    <x v="1"/>
    <x v="3"/>
    <x v="8"/>
    <x v="1"/>
    <x v="0"/>
  </r>
  <r>
    <x v="4"/>
    <x v="0"/>
    <x v="15"/>
    <x v="0"/>
    <x v="12"/>
    <x v="0"/>
    <x v="98"/>
    <x v="4"/>
    <x v="2"/>
    <x v="8"/>
    <x v="2"/>
    <x v="2"/>
    <x v="0"/>
  </r>
  <r>
    <x v="5"/>
    <x v="1"/>
    <x v="44"/>
    <x v="1"/>
    <x v="28"/>
    <x v="25"/>
    <x v="67"/>
    <x v="19"/>
    <x v="2"/>
    <x v="5"/>
    <x v="0"/>
    <x v="8"/>
    <x v="0"/>
  </r>
  <r>
    <x v="6"/>
    <x v="0"/>
    <x v="27"/>
    <x v="1"/>
    <x v="3"/>
    <x v="11"/>
    <x v="99"/>
    <x v="1"/>
    <x v="0"/>
    <x v="8"/>
    <x v="9"/>
    <x v="7"/>
    <x v="0"/>
  </r>
  <r>
    <x v="4"/>
    <x v="0"/>
    <x v="34"/>
    <x v="0"/>
    <x v="46"/>
    <x v="2"/>
    <x v="82"/>
    <x v="9"/>
    <x v="0"/>
    <x v="2"/>
    <x v="0"/>
    <x v="0"/>
    <x v="0"/>
  </r>
  <r>
    <x v="2"/>
    <x v="0"/>
    <x v="56"/>
    <x v="1"/>
    <x v="10"/>
    <x v="19"/>
    <x v="13"/>
    <x v="13"/>
    <x v="0"/>
    <x v="5"/>
    <x v="1"/>
    <x v="7"/>
    <x v="0"/>
  </r>
  <r>
    <x v="0"/>
    <x v="1"/>
    <x v="31"/>
    <x v="0"/>
    <x v="41"/>
    <x v="9"/>
    <x v="36"/>
    <x v="7"/>
    <x v="2"/>
    <x v="1"/>
    <x v="0"/>
    <x v="9"/>
    <x v="0"/>
  </r>
  <r>
    <x v="3"/>
    <x v="1"/>
    <x v="21"/>
    <x v="1"/>
    <x v="35"/>
    <x v="8"/>
    <x v="100"/>
    <x v="15"/>
    <x v="0"/>
    <x v="2"/>
    <x v="6"/>
    <x v="6"/>
    <x v="0"/>
  </r>
  <r>
    <x v="6"/>
    <x v="1"/>
    <x v="57"/>
    <x v="1"/>
    <x v="28"/>
    <x v="18"/>
    <x v="101"/>
    <x v="14"/>
    <x v="0"/>
    <x v="3"/>
    <x v="1"/>
    <x v="4"/>
    <x v="0"/>
  </r>
  <r>
    <x v="1"/>
    <x v="0"/>
    <x v="21"/>
    <x v="0"/>
    <x v="3"/>
    <x v="22"/>
    <x v="96"/>
    <x v="16"/>
    <x v="2"/>
    <x v="3"/>
    <x v="8"/>
    <x v="1"/>
    <x v="0"/>
  </r>
  <r>
    <x v="6"/>
    <x v="0"/>
    <x v="39"/>
    <x v="0"/>
    <x v="5"/>
    <x v="24"/>
    <x v="102"/>
    <x v="11"/>
    <x v="0"/>
    <x v="4"/>
    <x v="0"/>
    <x v="8"/>
    <x v="0"/>
  </r>
  <r>
    <x v="4"/>
    <x v="1"/>
    <x v="40"/>
    <x v="1"/>
    <x v="42"/>
    <x v="20"/>
    <x v="103"/>
    <x v="4"/>
    <x v="1"/>
    <x v="8"/>
    <x v="4"/>
    <x v="5"/>
    <x v="0"/>
  </r>
  <r>
    <x v="4"/>
    <x v="0"/>
    <x v="36"/>
    <x v="1"/>
    <x v="40"/>
    <x v="16"/>
    <x v="104"/>
    <x v="20"/>
    <x v="1"/>
    <x v="3"/>
    <x v="1"/>
    <x v="3"/>
    <x v="0"/>
  </r>
  <r>
    <x v="0"/>
    <x v="0"/>
    <x v="56"/>
    <x v="0"/>
    <x v="33"/>
    <x v="9"/>
    <x v="99"/>
    <x v="16"/>
    <x v="2"/>
    <x v="5"/>
    <x v="8"/>
    <x v="4"/>
    <x v="0"/>
  </r>
  <r>
    <x v="0"/>
    <x v="0"/>
    <x v="56"/>
    <x v="1"/>
    <x v="8"/>
    <x v="12"/>
    <x v="21"/>
    <x v="8"/>
    <x v="0"/>
    <x v="9"/>
    <x v="1"/>
    <x v="3"/>
    <x v="0"/>
  </r>
  <r>
    <x v="5"/>
    <x v="0"/>
    <x v="55"/>
    <x v="1"/>
    <x v="12"/>
    <x v="18"/>
    <x v="105"/>
    <x v="16"/>
    <x v="2"/>
    <x v="3"/>
    <x v="2"/>
    <x v="1"/>
    <x v="0"/>
  </r>
  <r>
    <x v="3"/>
    <x v="1"/>
    <x v="43"/>
    <x v="1"/>
    <x v="36"/>
    <x v="24"/>
    <x v="106"/>
    <x v="5"/>
    <x v="1"/>
    <x v="7"/>
    <x v="3"/>
    <x v="3"/>
    <x v="0"/>
  </r>
  <r>
    <x v="0"/>
    <x v="0"/>
    <x v="5"/>
    <x v="2"/>
    <x v="14"/>
    <x v="4"/>
    <x v="107"/>
    <x v="6"/>
    <x v="1"/>
    <x v="7"/>
    <x v="7"/>
    <x v="8"/>
    <x v="0"/>
  </r>
  <r>
    <x v="1"/>
    <x v="1"/>
    <x v="19"/>
    <x v="0"/>
    <x v="6"/>
    <x v="16"/>
    <x v="108"/>
    <x v="9"/>
    <x v="1"/>
    <x v="9"/>
    <x v="9"/>
    <x v="6"/>
    <x v="0"/>
  </r>
  <r>
    <x v="5"/>
    <x v="0"/>
    <x v="58"/>
    <x v="0"/>
    <x v="26"/>
    <x v="6"/>
    <x v="33"/>
    <x v="11"/>
    <x v="1"/>
    <x v="4"/>
    <x v="2"/>
    <x v="9"/>
    <x v="0"/>
  </r>
  <r>
    <x v="6"/>
    <x v="1"/>
    <x v="40"/>
    <x v="0"/>
    <x v="8"/>
    <x v="24"/>
    <x v="88"/>
    <x v="11"/>
    <x v="2"/>
    <x v="7"/>
    <x v="6"/>
    <x v="9"/>
    <x v="0"/>
  </r>
  <r>
    <x v="6"/>
    <x v="0"/>
    <x v="59"/>
    <x v="1"/>
    <x v="48"/>
    <x v="11"/>
    <x v="109"/>
    <x v="17"/>
    <x v="2"/>
    <x v="5"/>
    <x v="2"/>
    <x v="0"/>
    <x v="0"/>
  </r>
  <r>
    <x v="5"/>
    <x v="0"/>
    <x v="13"/>
    <x v="2"/>
    <x v="48"/>
    <x v="13"/>
    <x v="15"/>
    <x v="10"/>
    <x v="0"/>
    <x v="8"/>
    <x v="4"/>
    <x v="2"/>
    <x v="0"/>
  </r>
  <r>
    <x v="3"/>
    <x v="0"/>
    <x v="60"/>
    <x v="0"/>
    <x v="2"/>
    <x v="23"/>
    <x v="41"/>
    <x v="9"/>
    <x v="2"/>
    <x v="5"/>
    <x v="5"/>
    <x v="9"/>
    <x v="0"/>
  </r>
  <r>
    <x v="1"/>
    <x v="0"/>
    <x v="2"/>
    <x v="0"/>
    <x v="34"/>
    <x v="24"/>
    <x v="110"/>
    <x v="1"/>
    <x v="0"/>
    <x v="7"/>
    <x v="7"/>
    <x v="4"/>
    <x v="0"/>
  </r>
  <r>
    <x v="2"/>
    <x v="1"/>
    <x v="56"/>
    <x v="2"/>
    <x v="22"/>
    <x v="5"/>
    <x v="11"/>
    <x v="0"/>
    <x v="0"/>
    <x v="1"/>
    <x v="1"/>
    <x v="4"/>
    <x v="0"/>
  </r>
  <r>
    <x v="3"/>
    <x v="1"/>
    <x v="26"/>
    <x v="2"/>
    <x v="28"/>
    <x v="13"/>
    <x v="111"/>
    <x v="14"/>
    <x v="1"/>
    <x v="1"/>
    <x v="5"/>
    <x v="9"/>
    <x v="0"/>
  </r>
  <r>
    <x v="6"/>
    <x v="0"/>
    <x v="41"/>
    <x v="2"/>
    <x v="1"/>
    <x v="19"/>
    <x v="112"/>
    <x v="5"/>
    <x v="2"/>
    <x v="8"/>
    <x v="5"/>
    <x v="2"/>
    <x v="0"/>
  </r>
  <r>
    <x v="5"/>
    <x v="1"/>
    <x v="61"/>
    <x v="2"/>
    <x v="28"/>
    <x v="25"/>
    <x v="113"/>
    <x v="6"/>
    <x v="2"/>
    <x v="4"/>
    <x v="5"/>
    <x v="3"/>
    <x v="0"/>
  </r>
  <r>
    <x v="1"/>
    <x v="0"/>
    <x v="22"/>
    <x v="2"/>
    <x v="0"/>
    <x v="15"/>
    <x v="114"/>
    <x v="17"/>
    <x v="1"/>
    <x v="0"/>
    <x v="4"/>
    <x v="2"/>
    <x v="0"/>
  </r>
  <r>
    <x v="1"/>
    <x v="0"/>
    <x v="23"/>
    <x v="1"/>
    <x v="14"/>
    <x v="25"/>
    <x v="115"/>
    <x v="1"/>
    <x v="0"/>
    <x v="8"/>
    <x v="4"/>
    <x v="3"/>
    <x v="0"/>
  </r>
  <r>
    <x v="3"/>
    <x v="1"/>
    <x v="53"/>
    <x v="1"/>
    <x v="14"/>
    <x v="1"/>
    <x v="116"/>
    <x v="1"/>
    <x v="0"/>
    <x v="1"/>
    <x v="7"/>
    <x v="9"/>
    <x v="1"/>
  </r>
  <r>
    <x v="5"/>
    <x v="1"/>
    <x v="11"/>
    <x v="1"/>
    <x v="11"/>
    <x v="7"/>
    <x v="117"/>
    <x v="12"/>
    <x v="2"/>
    <x v="7"/>
    <x v="1"/>
    <x v="3"/>
    <x v="0"/>
  </r>
  <r>
    <x v="2"/>
    <x v="0"/>
    <x v="48"/>
    <x v="0"/>
    <x v="17"/>
    <x v="8"/>
    <x v="118"/>
    <x v="15"/>
    <x v="1"/>
    <x v="8"/>
    <x v="0"/>
    <x v="8"/>
    <x v="0"/>
  </r>
  <r>
    <x v="6"/>
    <x v="1"/>
    <x v="32"/>
    <x v="2"/>
    <x v="48"/>
    <x v="23"/>
    <x v="119"/>
    <x v="13"/>
    <x v="0"/>
    <x v="4"/>
    <x v="8"/>
    <x v="1"/>
    <x v="0"/>
  </r>
  <r>
    <x v="3"/>
    <x v="1"/>
    <x v="14"/>
    <x v="2"/>
    <x v="19"/>
    <x v="15"/>
    <x v="120"/>
    <x v="15"/>
    <x v="0"/>
    <x v="8"/>
    <x v="3"/>
    <x v="2"/>
    <x v="0"/>
  </r>
  <r>
    <x v="3"/>
    <x v="1"/>
    <x v="18"/>
    <x v="0"/>
    <x v="8"/>
    <x v="20"/>
    <x v="121"/>
    <x v="0"/>
    <x v="2"/>
    <x v="6"/>
    <x v="4"/>
    <x v="0"/>
    <x v="0"/>
  </r>
  <r>
    <x v="3"/>
    <x v="0"/>
    <x v="32"/>
    <x v="2"/>
    <x v="30"/>
    <x v="8"/>
    <x v="36"/>
    <x v="0"/>
    <x v="0"/>
    <x v="6"/>
    <x v="3"/>
    <x v="6"/>
    <x v="0"/>
  </r>
  <r>
    <x v="6"/>
    <x v="1"/>
    <x v="1"/>
    <x v="1"/>
    <x v="33"/>
    <x v="10"/>
    <x v="122"/>
    <x v="6"/>
    <x v="2"/>
    <x v="5"/>
    <x v="1"/>
    <x v="9"/>
    <x v="0"/>
  </r>
  <r>
    <x v="2"/>
    <x v="1"/>
    <x v="40"/>
    <x v="0"/>
    <x v="36"/>
    <x v="18"/>
    <x v="123"/>
    <x v="17"/>
    <x v="2"/>
    <x v="3"/>
    <x v="3"/>
    <x v="4"/>
    <x v="0"/>
  </r>
  <r>
    <x v="4"/>
    <x v="0"/>
    <x v="2"/>
    <x v="0"/>
    <x v="9"/>
    <x v="18"/>
    <x v="124"/>
    <x v="13"/>
    <x v="2"/>
    <x v="8"/>
    <x v="2"/>
    <x v="3"/>
    <x v="0"/>
  </r>
  <r>
    <x v="1"/>
    <x v="0"/>
    <x v="4"/>
    <x v="1"/>
    <x v="36"/>
    <x v="20"/>
    <x v="125"/>
    <x v="19"/>
    <x v="0"/>
    <x v="9"/>
    <x v="2"/>
    <x v="4"/>
    <x v="0"/>
  </r>
  <r>
    <x v="3"/>
    <x v="0"/>
    <x v="1"/>
    <x v="1"/>
    <x v="9"/>
    <x v="22"/>
    <x v="108"/>
    <x v="11"/>
    <x v="1"/>
    <x v="7"/>
    <x v="7"/>
    <x v="6"/>
    <x v="0"/>
  </r>
  <r>
    <x v="4"/>
    <x v="1"/>
    <x v="59"/>
    <x v="2"/>
    <x v="32"/>
    <x v="2"/>
    <x v="63"/>
    <x v="12"/>
    <x v="2"/>
    <x v="7"/>
    <x v="1"/>
    <x v="7"/>
    <x v="0"/>
  </r>
  <r>
    <x v="3"/>
    <x v="0"/>
    <x v="10"/>
    <x v="1"/>
    <x v="32"/>
    <x v="25"/>
    <x v="125"/>
    <x v="8"/>
    <x v="1"/>
    <x v="8"/>
    <x v="8"/>
    <x v="2"/>
    <x v="0"/>
  </r>
  <r>
    <x v="0"/>
    <x v="0"/>
    <x v="50"/>
    <x v="1"/>
    <x v="1"/>
    <x v="18"/>
    <x v="114"/>
    <x v="8"/>
    <x v="1"/>
    <x v="0"/>
    <x v="3"/>
    <x v="5"/>
    <x v="0"/>
  </r>
  <r>
    <x v="4"/>
    <x v="1"/>
    <x v="34"/>
    <x v="2"/>
    <x v="47"/>
    <x v="12"/>
    <x v="19"/>
    <x v="15"/>
    <x v="1"/>
    <x v="9"/>
    <x v="7"/>
    <x v="0"/>
    <x v="0"/>
  </r>
  <r>
    <x v="0"/>
    <x v="1"/>
    <x v="43"/>
    <x v="2"/>
    <x v="15"/>
    <x v="7"/>
    <x v="56"/>
    <x v="17"/>
    <x v="1"/>
    <x v="6"/>
    <x v="5"/>
    <x v="9"/>
    <x v="0"/>
  </r>
  <r>
    <x v="6"/>
    <x v="0"/>
    <x v="62"/>
    <x v="0"/>
    <x v="1"/>
    <x v="17"/>
    <x v="123"/>
    <x v="16"/>
    <x v="2"/>
    <x v="0"/>
    <x v="6"/>
    <x v="7"/>
    <x v="0"/>
  </r>
  <r>
    <x v="2"/>
    <x v="0"/>
    <x v="49"/>
    <x v="2"/>
    <x v="8"/>
    <x v="21"/>
    <x v="126"/>
    <x v="9"/>
    <x v="1"/>
    <x v="4"/>
    <x v="9"/>
    <x v="3"/>
    <x v="0"/>
  </r>
  <r>
    <x v="3"/>
    <x v="0"/>
    <x v="25"/>
    <x v="0"/>
    <x v="3"/>
    <x v="22"/>
    <x v="9"/>
    <x v="7"/>
    <x v="2"/>
    <x v="3"/>
    <x v="1"/>
    <x v="5"/>
    <x v="0"/>
  </r>
  <r>
    <x v="3"/>
    <x v="1"/>
    <x v="8"/>
    <x v="1"/>
    <x v="1"/>
    <x v="12"/>
    <x v="71"/>
    <x v="14"/>
    <x v="2"/>
    <x v="7"/>
    <x v="4"/>
    <x v="4"/>
    <x v="0"/>
  </r>
  <r>
    <x v="2"/>
    <x v="1"/>
    <x v="63"/>
    <x v="0"/>
    <x v="3"/>
    <x v="4"/>
    <x v="118"/>
    <x v="13"/>
    <x v="2"/>
    <x v="6"/>
    <x v="5"/>
    <x v="7"/>
    <x v="0"/>
  </r>
  <r>
    <x v="2"/>
    <x v="1"/>
    <x v="24"/>
    <x v="0"/>
    <x v="1"/>
    <x v="21"/>
    <x v="92"/>
    <x v="19"/>
    <x v="1"/>
    <x v="7"/>
    <x v="6"/>
    <x v="1"/>
    <x v="0"/>
  </r>
  <r>
    <x v="3"/>
    <x v="1"/>
    <x v="35"/>
    <x v="0"/>
    <x v="32"/>
    <x v="10"/>
    <x v="127"/>
    <x v="17"/>
    <x v="1"/>
    <x v="9"/>
    <x v="2"/>
    <x v="2"/>
    <x v="0"/>
  </r>
  <r>
    <x v="2"/>
    <x v="1"/>
    <x v="45"/>
    <x v="2"/>
    <x v="32"/>
    <x v="17"/>
    <x v="118"/>
    <x v="1"/>
    <x v="0"/>
    <x v="3"/>
    <x v="3"/>
    <x v="3"/>
    <x v="0"/>
  </r>
  <r>
    <x v="5"/>
    <x v="1"/>
    <x v="64"/>
    <x v="2"/>
    <x v="23"/>
    <x v="9"/>
    <x v="98"/>
    <x v="16"/>
    <x v="2"/>
    <x v="2"/>
    <x v="8"/>
    <x v="2"/>
    <x v="0"/>
  </r>
  <r>
    <x v="6"/>
    <x v="0"/>
    <x v="5"/>
    <x v="0"/>
    <x v="49"/>
    <x v="2"/>
    <x v="115"/>
    <x v="4"/>
    <x v="1"/>
    <x v="7"/>
    <x v="0"/>
    <x v="8"/>
    <x v="0"/>
  </r>
  <r>
    <x v="5"/>
    <x v="1"/>
    <x v="55"/>
    <x v="1"/>
    <x v="41"/>
    <x v="3"/>
    <x v="128"/>
    <x v="18"/>
    <x v="0"/>
    <x v="9"/>
    <x v="7"/>
    <x v="0"/>
    <x v="0"/>
  </r>
  <r>
    <x v="6"/>
    <x v="0"/>
    <x v="47"/>
    <x v="0"/>
    <x v="48"/>
    <x v="15"/>
    <x v="129"/>
    <x v="15"/>
    <x v="2"/>
    <x v="0"/>
    <x v="6"/>
    <x v="3"/>
    <x v="0"/>
  </r>
  <r>
    <x v="0"/>
    <x v="0"/>
    <x v="45"/>
    <x v="0"/>
    <x v="21"/>
    <x v="20"/>
    <x v="0"/>
    <x v="7"/>
    <x v="0"/>
    <x v="7"/>
    <x v="8"/>
    <x v="7"/>
    <x v="0"/>
  </r>
  <r>
    <x v="0"/>
    <x v="1"/>
    <x v="51"/>
    <x v="0"/>
    <x v="15"/>
    <x v="10"/>
    <x v="73"/>
    <x v="0"/>
    <x v="2"/>
    <x v="8"/>
    <x v="5"/>
    <x v="3"/>
    <x v="0"/>
  </r>
  <r>
    <x v="4"/>
    <x v="1"/>
    <x v="19"/>
    <x v="0"/>
    <x v="1"/>
    <x v="25"/>
    <x v="89"/>
    <x v="3"/>
    <x v="0"/>
    <x v="0"/>
    <x v="1"/>
    <x v="1"/>
    <x v="0"/>
  </r>
  <r>
    <x v="3"/>
    <x v="1"/>
    <x v="24"/>
    <x v="2"/>
    <x v="4"/>
    <x v="3"/>
    <x v="13"/>
    <x v="7"/>
    <x v="2"/>
    <x v="6"/>
    <x v="6"/>
    <x v="9"/>
    <x v="0"/>
  </r>
  <r>
    <x v="5"/>
    <x v="0"/>
    <x v="21"/>
    <x v="2"/>
    <x v="29"/>
    <x v="10"/>
    <x v="100"/>
    <x v="10"/>
    <x v="2"/>
    <x v="5"/>
    <x v="9"/>
    <x v="7"/>
    <x v="0"/>
  </r>
  <r>
    <x v="2"/>
    <x v="1"/>
    <x v="41"/>
    <x v="0"/>
    <x v="13"/>
    <x v="0"/>
    <x v="65"/>
    <x v="10"/>
    <x v="0"/>
    <x v="3"/>
    <x v="1"/>
    <x v="1"/>
    <x v="0"/>
  </r>
  <r>
    <x v="4"/>
    <x v="0"/>
    <x v="38"/>
    <x v="0"/>
    <x v="1"/>
    <x v="0"/>
    <x v="14"/>
    <x v="9"/>
    <x v="1"/>
    <x v="7"/>
    <x v="6"/>
    <x v="5"/>
    <x v="0"/>
  </r>
  <r>
    <x v="2"/>
    <x v="1"/>
    <x v="65"/>
    <x v="2"/>
    <x v="32"/>
    <x v="6"/>
    <x v="130"/>
    <x v="17"/>
    <x v="0"/>
    <x v="2"/>
    <x v="2"/>
    <x v="1"/>
    <x v="0"/>
  </r>
  <r>
    <x v="6"/>
    <x v="0"/>
    <x v="0"/>
    <x v="0"/>
    <x v="9"/>
    <x v="10"/>
    <x v="131"/>
    <x v="16"/>
    <x v="2"/>
    <x v="3"/>
    <x v="3"/>
    <x v="2"/>
    <x v="0"/>
  </r>
  <r>
    <x v="5"/>
    <x v="1"/>
    <x v="6"/>
    <x v="0"/>
    <x v="47"/>
    <x v="13"/>
    <x v="55"/>
    <x v="15"/>
    <x v="1"/>
    <x v="6"/>
    <x v="7"/>
    <x v="3"/>
    <x v="0"/>
  </r>
  <r>
    <x v="3"/>
    <x v="1"/>
    <x v="17"/>
    <x v="1"/>
    <x v="46"/>
    <x v="19"/>
    <x v="122"/>
    <x v="0"/>
    <x v="2"/>
    <x v="9"/>
    <x v="9"/>
    <x v="7"/>
    <x v="0"/>
  </r>
  <r>
    <x v="1"/>
    <x v="0"/>
    <x v="35"/>
    <x v="1"/>
    <x v="38"/>
    <x v="25"/>
    <x v="132"/>
    <x v="15"/>
    <x v="1"/>
    <x v="4"/>
    <x v="7"/>
    <x v="9"/>
    <x v="0"/>
  </r>
  <r>
    <x v="2"/>
    <x v="0"/>
    <x v="43"/>
    <x v="0"/>
    <x v="16"/>
    <x v="19"/>
    <x v="133"/>
    <x v="6"/>
    <x v="2"/>
    <x v="9"/>
    <x v="1"/>
    <x v="2"/>
    <x v="0"/>
  </r>
  <r>
    <x v="1"/>
    <x v="1"/>
    <x v="25"/>
    <x v="1"/>
    <x v="29"/>
    <x v="2"/>
    <x v="54"/>
    <x v="7"/>
    <x v="2"/>
    <x v="0"/>
    <x v="8"/>
    <x v="6"/>
    <x v="0"/>
  </r>
  <r>
    <x v="5"/>
    <x v="1"/>
    <x v="5"/>
    <x v="1"/>
    <x v="48"/>
    <x v="0"/>
    <x v="22"/>
    <x v="15"/>
    <x v="1"/>
    <x v="1"/>
    <x v="3"/>
    <x v="9"/>
    <x v="0"/>
  </r>
  <r>
    <x v="3"/>
    <x v="0"/>
    <x v="66"/>
    <x v="0"/>
    <x v="11"/>
    <x v="20"/>
    <x v="115"/>
    <x v="18"/>
    <x v="0"/>
    <x v="5"/>
    <x v="4"/>
    <x v="6"/>
    <x v="0"/>
  </r>
  <r>
    <x v="3"/>
    <x v="0"/>
    <x v="67"/>
    <x v="0"/>
    <x v="42"/>
    <x v="12"/>
    <x v="104"/>
    <x v="0"/>
    <x v="2"/>
    <x v="7"/>
    <x v="3"/>
    <x v="5"/>
    <x v="0"/>
  </r>
  <r>
    <x v="5"/>
    <x v="0"/>
    <x v="29"/>
    <x v="2"/>
    <x v="16"/>
    <x v="14"/>
    <x v="134"/>
    <x v="8"/>
    <x v="2"/>
    <x v="2"/>
    <x v="4"/>
    <x v="8"/>
    <x v="0"/>
  </r>
  <r>
    <x v="4"/>
    <x v="1"/>
    <x v="68"/>
    <x v="2"/>
    <x v="47"/>
    <x v="23"/>
    <x v="135"/>
    <x v="11"/>
    <x v="2"/>
    <x v="4"/>
    <x v="8"/>
    <x v="5"/>
    <x v="0"/>
  </r>
  <r>
    <x v="5"/>
    <x v="0"/>
    <x v="69"/>
    <x v="0"/>
    <x v="49"/>
    <x v="22"/>
    <x v="73"/>
    <x v="16"/>
    <x v="2"/>
    <x v="6"/>
    <x v="6"/>
    <x v="5"/>
    <x v="0"/>
  </r>
  <r>
    <x v="5"/>
    <x v="0"/>
    <x v="5"/>
    <x v="0"/>
    <x v="16"/>
    <x v="14"/>
    <x v="8"/>
    <x v="19"/>
    <x v="1"/>
    <x v="3"/>
    <x v="7"/>
    <x v="3"/>
    <x v="0"/>
  </r>
  <r>
    <x v="4"/>
    <x v="1"/>
    <x v="1"/>
    <x v="1"/>
    <x v="9"/>
    <x v="25"/>
    <x v="136"/>
    <x v="18"/>
    <x v="0"/>
    <x v="4"/>
    <x v="4"/>
    <x v="0"/>
    <x v="0"/>
  </r>
  <r>
    <x v="6"/>
    <x v="0"/>
    <x v="62"/>
    <x v="0"/>
    <x v="40"/>
    <x v="12"/>
    <x v="137"/>
    <x v="9"/>
    <x v="0"/>
    <x v="4"/>
    <x v="0"/>
    <x v="7"/>
    <x v="0"/>
  </r>
  <r>
    <x v="6"/>
    <x v="1"/>
    <x v="52"/>
    <x v="1"/>
    <x v="49"/>
    <x v="11"/>
    <x v="28"/>
    <x v="11"/>
    <x v="1"/>
    <x v="0"/>
    <x v="3"/>
    <x v="7"/>
    <x v="0"/>
  </r>
  <r>
    <x v="3"/>
    <x v="0"/>
    <x v="41"/>
    <x v="0"/>
    <x v="46"/>
    <x v="7"/>
    <x v="85"/>
    <x v="9"/>
    <x v="2"/>
    <x v="4"/>
    <x v="6"/>
    <x v="1"/>
    <x v="0"/>
  </r>
  <r>
    <x v="1"/>
    <x v="0"/>
    <x v="9"/>
    <x v="1"/>
    <x v="34"/>
    <x v="0"/>
    <x v="138"/>
    <x v="1"/>
    <x v="0"/>
    <x v="5"/>
    <x v="4"/>
    <x v="8"/>
    <x v="0"/>
  </r>
  <r>
    <x v="6"/>
    <x v="0"/>
    <x v="67"/>
    <x v="1"/>
    <x v="14"/>
    <x v="12"/>
    <x v="97"/>
    <x v="2"/>
    <x v="0"/>
    <x v="2"/>
    <x v="5"/>
    <x v="4"/>
    <x v="0"/>
  </r>
  <r>
    <x v="0"/>
    <x v="0"/>
    <x v="37"/>
    <x v="2"/>
    <x v="3"/>
    <x v="24"/>
    <x v="0"/>
    <x v="13"/>
    <x v="1"/>
    <x v="8"/>
    <x v="7"/>
    <x v="6"/>
    <x v="0"/>
  </r>
  <r>
    <x v="0"/>
    <x v="0"/>
    <x v="2"/>
    <x v="0"/>
    <x v="33"/>
    <x v="16"/>
    <x v="65"/>
    <x v="5"/>
    <x v="1"/>
    <x v="3"/>
    <x v="9"/>
    <x v="8"/>
    <x v="0"/>
  </r>
  <r>
    <x v="1"/>
    <x v="1"/>
    <x v="66"/>
    <x v="1"/>
    <x v="30"/>
    <x v="25"/>
    <x v="56"/>
    <x v="4"/>
    <x v="0"/>
    <x v="5"/>
    <x v="3"/>
    <x v="6"/>
    <x v="0"/>
  </r>
  <r>
    <x v="1"/>
    <x v="1"/>
    <x v="6"/>
    <x v="1"/>
    <x v="35"/>
    <x v="4"/>
    <x v="129"/>
    <x v="4"/>
    <x v="0"/>
    <x v="6"/>
    <x v="8"/>
    <x v="6"/>
    <x v="0"/>
  </r>
  <r>
    <x v="0"/>
    <x v="1"/>
    <x v="65"/>
    <x v="1"/>
    <x v="4"/>
    <x v="2"/>
    <x v="41"/>
    <x v="10"/>
    <x v="1"/>
    <x v="3"/>
    <x v="1"/>
    <x v="8"/>
    <x v="0"/>
  </r>
  <r>
    <x v="4"/>
    <x v="1"/>
    <x v="63"/>
    <x v="1"/>
    <x v="15"/>
    <x v="2"/>
    <x v="55"/>
    <x v="9"/>
    <x v="1"/>
    <x v="0"/>
    <x v="3"/>
    <x v="7"/>
    <x v="0"/>
  </r>
  <r>
    <x v="1"/>
    <x v="0"/>
    <x v="21"/>
    <x v="1"/>
    <x v="35"/>
    <x v="3"/>
    <x v="12"/>
    <x v="15"/>
    <x v="1"/>
    <x v="8"/>
    <x v="5"/>
    <x v="7"/>
    <x v="0"/>
  </r>
  <r>
    <x v="0"/>
    <x v="0"/>
    <x v="55"/>
    <x v="0"/>
    <x v="14"/>
    <x v="14"/>
    <x v="139"/>
    <x v="9"/>
    <x v="0"/>
    <x v="8"/>
    <x v="9"/>
    <x v="0"/>
    <x v="0"/>
  </r>
  <r>
    <x v="6"/>
    <x v="0"/>
    <x v="31"/>
    <x v="1"/>
    <x v="31"/>
    <x v="7"/>
    <x v="104"/>
    <x v="6"/>
    <x v="0"/>
    <x v="5"/>
    <x v="2"/>
    <x v="4"/>
    <x v="0"/>
  </r>
  <r>
    <x v="1"/>
    <x v="0"/>
    <x v="54"/>
    <x v="2"/>
    <x v="20"/>
    <x v="16"/>
    <x v="88"/>
    <x v="15"/>
    <x v="0"/>
    <x v="2"/>
    <x v="8"/>
    <x v="5"/>
    <x v="0"/>
  </r>
  <r>
    <x v="5"/>
    <x v="0"/>
    <x v="1"/>
    <x v="0"/>
    <x v="22"/>
    <x v="5"/>
    <x v="125"/>
    <x v="11"/>
    <x v="1"/>
    <x v="9"/>
    <x v="3"/>
    <x v="5"/>
    <x v="0"/>
  </r>
  <r>
    <x v="2"/>
    <x v="0"/>
    <x v="22"/>
    <x v="1"/>
    <x v="33"/>
    <x v="4"/>
    <x v="93"/>
    <x v="8"/>
    <x v="0"/>
    <x v="2"/>
    <x v="8"/>
    <x v="4"/>
    <x v="0"/>
  </r>
  <r>
    <x v="0"/>
    <x v="1"/>
    <x v="26"/>
    <x v="0"/>
    <x v="31"/>
    <x v="4"/>
    <x v="96"/>
    <x v="17"/>
    <x v="1"/>
    <x v="3"/>
    <x v="5"/>
    <x v="7"/>
    <x v="0"/>
  </r>
  <r>
    <x v="0"/>
    <x v="0"/>
    <x v="14"/>
    <x v="2"/>
    <x v="11"/>
    <x v="25"/>
    <x v="140"/>
    <x v="2"/>
    <x v="0"/>
    <x v="7"/>
    <x v="3"/>
    <x v="1"/>
    <x v="0"/>
  </r>
  <r>
    <x v="4"/>
    <x v="0"/>
    <x v="51"/>
    <x v="0"/>
    <x v="23"/>
    <x v="20"/>
    <x v="66"/>
    <x v="20"/>
    <x v="2"/>
    <x v="9"/>
    <x v="7"/>
    <x v="4"/>
    <x v="0"/>
  </r>
  <r>
    <x v="6"/>
    <x v="0"/>
    <x v="36"/>
    <x v="1"/>
    <x v="31"/>
    <x v="21"/>
    <x v="36"/>
    <x v="5"/>
    <x v="0"/>
    <x v="4"/>
    <x v="8"/>
    <x v="1"/>
    <x v="0"/>
  </r>
  <r>
    <x v="5"/>
    <x v="0"/>
    <x v="60"/>
    <x v="1"/>
    <x v="39"/>
    <x v="23"/>
    <x v="110"/>
    <x v="11"/>
    <x v="2"/>
    <x v="3"/>
    <x v="7"/>
    <x v="1"/>
    <x v="0"/>
  </r>
  <r>
    <x v="4"/>
    <x v="0"/>
    <x v="12"/>
    <x v="2"/>
    <x v="38"/>
    <x v="4"/>
    <x v="33"/>
    <x v="5"/>
    <x v="0"/>
    <x v="5"/>
    <x v="2"/>
    <x v="3"/>
    <x v="0"/>
  </r>
  <r>
    <x v="1"/>
    <x v="0"/>
    <x v="17"/>
    <x v="1"/>
    <x v="8"/>
    <x v="6"/>
    <x v="141"/>
    <x v="4"/>
    <x v="2"/>
    <x v="5"/>
    <x v="0"/>
    <x v="0"/>
    <x v="0"/>
  </r>
  <r>
    <x v="5"/>
    <x v="1"/>
    <x v="22"/>
    <x v="2"/>
    <x v="50"/>
    <x v="2"/>
    <x v="19"/>
    <x v="2"/>
    <x v="2"/>
    <x v="1"/>
    <x v="2"/>
    <x v="1"/>
    <x v="0"/>
  </r>
  <r>
    <x v="2"/>
    <x v="1"/>
    <x v="10"/>
    <x v="2"/>
    <x v="31"/>
    <x v="19"/>
    <x v="53"/>
    <x v="10"/>
    <x v="2"/>
    <x v="9"/>
    <x v="9"/>
    <x v="5"/>
    <x v="0"/>
  </r>
  <r>
    <x v="0"/>
    <x v="1"/>
    <x v="4"/>
    <x v="0"/>
    <x v="31"/>
    <x v="21"/>
    <x v="50"/>
    <x v="8"/>
    <x v="2"/>
    <x v="0"/>
    <x v="5"/>
    <x v="4"/>
    <x v="0"/>
  </r>
  <r>
    <x v="1"/>
    <x v="0"/>
    <x v="20"/>
    <x v="0"/>
    <x v="18"/>
    <x v="24"/>
    <x v="38"/>
    <x v="17"/>
    <x v="1"/>
    <x v="6"/>
    <x v="6"/>
    <x v="7"/>
    <x v="0"/>
  </r>
  <r>
    <x v="1"/>
    <x v="1"/>
    <x v="54"/>
    <x v="1"/>
    <x v="41"/>
    <x v="24"/>
    <x v="11"/>
    <x v="3"/>
    <x v="0"/>
    <x v="6"/>
    <x v="4"/>
    <x v="0"/>
    <x v="0"/>
  </r>
  <r>
    <x v="5"/>
    <x v="1"/>
    <x v="53"/>
    <x v="1"/>
    <x v="10"/>
    <x v="5"/>
    <x v="142"/>
    <x v="20"/>
    <x v="0"/>
    <x v="1"/>
    <x v="9"/>
    <x v="0"/>
    <x v="0"/>
  </r>
  <r>
    <x v="0"/>
    <x v="1"/>
    <x v="57"/>
    <x v="2"/>
    <x v="7"/>
    <x v="8"/>
    <x v="139"/>
    <x v="6"/>
    <x v="2"/>
    <x v="1"/>
    <x v="5"/>
    <x v="6"/>
    <x v="0"/>
  </r>
  <r>
    <x v="2"/>
    <x v="0"/>
    <x v="16"/>
    <x v="0"/>
    <x v="2"/>
    <x v="4"/>
    <x v="38"/>
    <x v="14"/>
    <x v="2"/>
    <x v="8"/>
    <x v="4"/>
    <x v="5"/>
    <x v="0"/>
  </r>
  <r>
    <x v="6"/>
    <x v="1"/>
    <x v="8"/>
    <x v="1"/>
    <x v="0"/>
    <x v="21"/>
    <x v="37"/>
    <x v="15"/>
    <x v="0"/>
    <x v="1"/>
    <x v="7"/>
    <x v="8"/>
    <x v="0"/>
  </r>
  <r>
    <x v="4"/>
    <x v="0"/>
    <x v="61"/>
    <x v="2"/>
    <x v="5"/>
    <x v="5"/>
    <x v="143"/>
    <x v="19"/>
    <x v="0"/>
    <x v="1"/>
    <x v="0"/>
    <x v="5"/>
    <x v="0"/>
  </r>
  <r>
    <x v="5"/>
    <x v="0"/>
    <x v="45"/>
    <x v="1"/>
    <x v="19"/>
    <x v="13"/>
    <x v="27"/>
    <x v="6"/>
    <x v="0"/>
    <x v="2"/>
    <x v="4"/>
    <x v="4"/>
    <x v="0"/>
  </r>
  <r>
    <x v="1"/>
    <x v="0"/>
    <x v="26"/>
    <x v="2"/>
    <x v="27"/>
    <x v="24"/>
    <x v="40"/>
    <x v="14"/>
    <x v="2"/>
    <x v="7"/>
    <x v="6"/>
    <x v="4"/>
    <x v="0"/>
  </r>
  <r>
    <x v="6"/>
    <x v="1"/>
    <x v="0"/>
    <x v="0"/>
    <x v="11"/>
    <x v="6"/>
    <x v="41"/>
    <x v="18"/>
    <x v="2"/>
    <x v="0"/>
    <x v="8"/>
    <x v="7"/>
    <x v="0"/>
  </r>
  <r>
    <x v="6"/>
    <x v="0"/>
    <x v="28"/>
    <x v="1"/>
    <x v="23"/>
    <x v="2"/>
    <x v="115"/>
    <x v="14"/>
    <x v="0"/>
    <x v="7"/>
    <x v="4"/>
    <x v="4"/>
    <x v="0"/>
  </r>
  <r>
    <x v="6"/>
    <x v="0"/>
    <x v="46"/>
    <x v="0"/>
    <x v="17"/>
    <x v="13"/>
    <x v="144"/>
    <x v="15"/>
    <x v="0"/>
    <x v="5"/>
    <x v="4"/>
    <x v="8"/>
    <x v="0"/>
  </r>
  <r>
    <x v="2"/>
    <x v="1"/>
    <x v="52"/>
    <x v="1"/>
    <x v="6"/>
    <x v="24"/>
    <x v="52"/>
    <x v="8"/>
    <x v="0"/>
    <x v="0"/>
    <x v="7"/>
    <x v="8"/>
    <x v="0"/>
  </r>
  <r>
    <x v="1"/>
    <x v="0"/>
    <x v="62"/>
    <x v="2"/>
    <x v="11"/>
    <x v="16"/>
    <x v="87"/>
    <x v="10"/>
    <x v="0"/>
    <x v="9"/>
    <x v="7"/>
    <x v="9"/>
    <x v="0"/>
  </r>
  <r>
    <x v="1"/>
    <x v="1"/>
    <x v="43"/>
    <x v="1"/>
    <x v="31"/>
    <x v="21"/>
    <x v="145"/>
    <x v="7"/>
    <x v="0"/>
    <x v="9"/>
    <x v="3"/>
    <x v="2"/>
    <x v="0"/>
  </r>
  <r>
    <x v="4"/>
    <x v="0"/>
    <x v="50"/>
    <x v="1"/>
    <x v="31"/>
    <x v="15"/>
    <x v="146"/>
    <x v="6"/>
    <x v="0"/>
    <x v="4"/>
    <x v="0"/>
    <x v="7"/>
    <x v="0"/>
  </r>
  <r>
    <x v="0"/>
    <x v="0"/>
    <x v="52"/>
    <x v="0"/>
    <x v="14"/>
    <x v="23"/>
    <x v="147"/>
    <x v="1"/>
    <x v="0"/>
    <x v="1"/>
    <x v="8"/>
    <x v="6"/>
    <x v="0"/>
  </r>
  <r>
    <x v="2"/>
    <x v="1"/>
    <x v="32"/>
    <x v="0"/>
    <x v="50"/>
    <x v="14"/>
    <x v="10"/>
    <x v="18"/>
    <x v="0"/>
    <x v="2"/>
    <x v="8"/>
    <x v="9"/>
    <x v="0"/>
  </r>
  <r>
    <x v="2"/>
    <x v="0"/>
    <x v="14"/>
    <x v="1"/>
    <x v="24"/>
    <x v="25"/>
    <x v="148"/>
    <x v="5"/>
    <x v="0"/>
    <x v="6"/>
    <x v="7"/>
    <x v="3"/>
    <x v="0"/>
  </r>
  <r>
    <x v="5"/>
    <x v="0"/>
    <x v="55"/>
    <x v="0"/>
    <x v="16"/>
    <x v="4"/>
    <x v="98"/>
    <x v="16"/>
    <x v="0"/>
    <x v="4"/>
    <x v="5"/>
    <x v="6"/>
    <x v="0"/>
  </r>
  <r>
    <x v="6"/>
    <x v="1"/>
    <x v="13"/>
    <x v="1"/>
    <x v="26"/>
    <x v="17"/>
    <x v="149"/>
    <x v="5"/>
    <x v="1"/>
    <x v="7"/>
    <x v="9"/>
    <x v="5"/>
    <x v="0"/>
  </r>
  <r>
    <x v="3"/>
    <x v="0"/>
    <x v="13"/>
    <x v="1"/>
    <x v="39"/>
    <x v="0"/>
    <x v="150"/>
    <x v="19"/>
    <x v="1"/>
    <x v="7"/>
    <x v="7"/>
    <x v="4"/>
    <x v="0"/>
  </r>
  <r>
    <x v="2"/>
    <x v="1"/>
    <x v="20"/>
    <x v="0"/>
    <x v="0"/>
    <x v="15"/>
    <x v="64"/>
    <x v="8"/>
    <x v="1"/>
    <x v="4"/>
    <x v="9"/>
    <x v="4"/>
    <x v="0"/>
  </r>
  <r>
    <x v="1"/>
    <x v="0"/>
    <x v="57"/>
    <x v="1"/>
    <x v="39"/>
    <x v="10"/>
    <x v="151"/>
    <x v="19"/>
    <x v="1"/>
    <x v="8"/>
    <x v="7"/>
    <x v="4"/>
    <x v="0"/>
  </r>
  <r>
    <x v="4"/>
    <x v="0"/>
    <x v="51"/>
    <x v="1"/>
    <x v="10"/>
    <x v="12"/>
    <x v="152"/>
    <x v="4"/>
    <x v="2"/>
    <x v="8"/>
    <x v="8"/>
    <x v="8"/>
    <x v="0"/>
  </r>
  <r>
    <x v="0"/>
    <x v="1"/>
    <x v="38"/>
    <x v="1"/>
    <x v="34"/>
    <x v="4"/>
    <x v="57"/>
    <x v="14"/>
    <x v="1"/>
    <x v="3"/>
    <x v="2"/>
    <x v="6"/>
    <x v="0"/>
  </r>
  <r>
    <x v="5"/>
    <x v="0"/>
    <x v="9"/>
    <x v="0"/>
    <x v="16"/>
    <x v="14"/>
    <x v="100"/>
    <x v="13"/>
    <x v="1"/>
    <x v="9"/>
    <x v="2"/>
    <x v="7"/>
    <x v="0"/>
  </r>
  <r>
    <x v="1"/>
    <x v="0"/>
    <x v="28"/>
    <x v="2"/>
    <x v="48"/>
    <x v="13"/>
    <x v="114"/>
    <x v="14"/>
    <x v="2"/>
    <x v="1"/>
    <x v="1"/>
    <x v="9"/>
    <x v="0"/>
  </r>
  <r>
    <x v="1"/>
    <x v="0"/>
    <x v="47"/>
    <x v="0"/>
    <x v="35"/>
    <x v="8"/>
    <x v="83"/>
    <x v="10"/>
    <x v="1"/>
    <x v="9"/>
    <x v="8"/>
    <x v="0"/>
    <x v="0"/>
  </r>
  <r>
    <x v="5"/>
    <x v="0"/>
    <x v="64"/>
    <x v="2"/>
    <x v="12"/>
    <x v="14"/>
    <x v="74"/>
    <x v="15"/>
    <x v="1"/>
    <x v="7"/>
    <x v="4"/>
    <x v="3"/>
    <x v="0"/>
  </r>
  <r>
    <x v="5"/>
    <x v="0"/>
    <x v="14"/>
    <x v="1"/>
    <x v="18"/>
    <x v="1"/>
    <x v="153"/>
    <x v="9"/>
    <x v="0"/>
    <x v="2"/>
    <x v="7"/>
    <x v="8"/>
    <x v="0"/>
  </r>
  <r>
    <x v="1"/>
    <x v="0"/>
    <x v="59"/>
    <x v="0"/>
    <x v="48"/>
    <x v="17"/>
    <x v="33"/>
    <x v="14"/>
    <x v="1"/>
    <x v="4"/>
    <x v="6"/>
    <x v="8"/>
    <x v="0"/>
  </r>
  <r>
    <x v="0"/>
    <x v="1"/>
    <x v="52"/>
    <x v="2"/>
    <x v="22"/>
    <x v="6"/>
    <x v="25"/>
    <x v="1"/>
    <x v="2"/>
    <x v="8"/>
    <x v="0"/>
    <x v="9"/>
    <x v="0"/>
  </r>
  <r>
    <x v="1"/>
    <x v="1"/>
    <x v="39"/>
    <x v="0"/>
    <x v="13"/>
    <x v="5"/>
    <x v="154"/>
    <x v="10"/>
    <x v="1"/>
    <x v="8"/>
    <x v="7"/>
    <x v="7"/>
    <x v="0"/>
  </r>
  <r>
    <x v="5"/>
    <x v="0"/>
    <x v="8"/>
    <x v="2"/>
    <x v="27"/>
    <x v="7"/>
    <x v="55"/>
    <x v="10"/>
    <x v="1"/>
    <x v="1"/>
    <x v="3"/>
    <x v="8"/>
    <x v="0"/>
  </r>
  <r>
    <x v="6"/>
    <x v="0"/>
    <x v="59"/>
    <x v="2"/>
    <x v="29"/>
    <x v="13"/>
    <x v="48"/>
    <x v="11"/>
    <x v="2"/>
    <x v="3"/>
    <x v="5"/>
    <x v="8"/>
    <x v="0"/>
  </r>
  <r>
    <x v="4"/>
    <x v="1"/>
    <x v="55"/>
    <x v="2"/>
    <x v="44"/>
    <x v="25"/>
    <x v="118"/>
    <x v="13"/>
    <x v="2"/>
    <x v="5"/>
    <x v="5"/>
    <x v="9"/>
    <x v="0"/>
  </r>
  <r>
    <x v="2"/>
    <x v="1"/>
    <x v="58"/>
    <x v="0"/>
    <x v="3"/>
    <x v="22"/>
    <x v="155"/>
    <x v="4"/>
    <x v="0"/>
    <x v="5"/>
    <x v="0"/>
    <x v="3"/>
    <x v="0"/>
  </r>
  <r>
    <x v="0"/>
    <x v="1"/>
    <x v="59"/>
    <x v="1"/>
    <x v="22"/>
    <x v="9"/>
    <x v="36"/>
    <x v="3"/>
    <x v="2"/>
    <x v="7"/>
    <x v="2"/>
    <x v="2"/>
    <x v="0"/>
  </r>
  <r>
    <x v="6"/>
    <x v="0"/>
    <x v="28"/>
    <x v="1"/>
    <x v="14"/>
    <x v="22"/>
    <x v="156"/>
    <x v="18"/>
    <x v="0"/>
    <x v="5"/>
    <x v="7"/>
    <x v="5"/>
    <x v="0"/>
  </r>
  <r>
    <x v="5"/>
    <x v="0"/>
    <x v="18"/>
    <x v="2"/>
    <x v="48"/>
    <x v="8"/>
    <x v="144"/>
    <x v="17"/>
    <x v="1"/>
    <x v="4"/>
    <x v="0"/>
    <x v="5"/>
    <x v="0"/>
  </r>
  <r>
    <x v="1"/>
    <x v="1"/>
    <x v="35"/>
    <x v="1"/>
    <x v="18"/>
    <x v="23"/>
    <x v="72"/>
    <x v="9"/>
    <x v="0"/>
    <x v="6"/>
    <x v="8"/>
    <x v="4"/>
    <x v="0"/>
  </r>
  <r>
    <x v="0"/>
    <x v="1"/>
    <x v="57"/>
    <x v="2"/>
    <x v="23"/>
    <x v="23"/>
    <x v="46"/>
    <x v="8"/>
    <x v="0"/>
    <x v="0"/>
    <x v="1"/>
    <x v="3"/>
    <x v="0"/>
  </r>
  <r>
    <x v="0"/>
    <x v="1"/>
    <x v="47"/>
    <x v="2"/>
    <x v="36"/>
    <x v="21"/>
    <x v="86"/>
    <x v="10"/>
    <x v="1"/>
    <x v="8"/>
    <x v="4"/>
    <x v="1"/>
    <x v="0"/>
  </r>
  <r>
    <x v="2"/>
    <x v="0"/>
    <x v="40"/>
    <x v="2"/>
    <x v="27"/>
    <x v="14"/>
    <x v="128"/>
    <x v="17"/>
    <x v="1"/>
    <x v="9"/>
    <x v="2"/>
    <x v="5"/>
    <x v="0"/>
  </r>
  <r>
    <x v="0"/>
    <x v="1"/>
    <x v="57"/>
    <x v="1"/>
    <x v="12"/>
    <x v="14"/>
    <x v="121"/>
    <x v="13"/>
    <x v="1"/>
    <x v="6"/>
    <x v="0"/>
    <x v="2"/>
    <x v="0"/>
  </r>
  <r>
    <x v="6"/>
    <x v="1"/>
    <x v="23"/>
    <x v="0"/>
    <x v="19"/>
    <x v="13"/>
    <x v="139"/>
    <x v="9"/>
    <x v="2"/>
    <x v="9"/>
    <x v="3"/>
    <x v="3"/>
    <x v="0"/>
  </r>
  <r>
    <x v="2"/>
    <x v="0"/>
    <x v="8"/>
    <x v="1"/>
    <x v="28"/>
    <x v="7"/>
    <x v="97"/>
    <x v="13"/>
    <x v="0"/>
    <x v="2"/>
    <x v="9"/>
    <x v="3"/>
    <x v="0"/>
  </r>
  <r>
    <x v="1"/>
    <x v="0"/>
    <x v="57"/>
    <x v="2"/>
    <x v="6"/>
    <x v="16"/>
    <x v="157"/>
    <x v="18"/>
    <x v="2"/>
    <x v="4"/>
    <x v="7"/>
    <x v="7"/>
    <x v="0"/>
  </r>
  <r>
    <x v="0"/>
    <x v="0"/>
    <x v="8"/>
    <x v="1"/>
    <x v="30"/>
    <x v="12"/>
    <x v="41"/>
    <x v="15"/>
    <x v="0"/>
    <x v="5"/>
    <x v="3"/>
    <x v="0"/>
    <x v="0"/>
  </r>
  <r>
    <x v="6"/>
    <x v="0"/>
    <x v="45"/>
    <x v="0"/>
    <x v="35"/>
    <x v="10"/>
    <x v="158"/>
    <x v="11"/>
    <x v="2"/>
    <x v="7"/>
    <x v="9"/>
    <x v="9"/>
    <x v="0"/>
  </r>
  <r>
    <x v="5"/>
    <x v="0"/>
    <x v="14"/>
    <x v="1"/>
    <x v="29"/>
    <x v="18"/>
    <x v="129"/>
    <x v="9"/>
    <x v="1"/>
    <x v="7"/>
    <x v="8"/>
    <x v="8"/>
    <x v="0"/>
  </r>
  <r>
    <x v="3"/>
    <x v="1"/>
    <x v="47"/>
    <x v="0"/>
    <x v="1"/>
    <x v="17"/>
    <x v="159"/>
    <x v="4"/>
    <x v="0"/>
    <x v="8"/>
    <x v="6"/>
    <x v="7"/>
    <x v="0"/>
  </r>
  <r>
    <x v="2"/>
    <x v="1"/>
    <x v="68"/>
    <x v="1"/>
    <x v="14"/>
    <x v="24"/>
    <x v="141"/>
    <x v="1"/>
    <x v="1"/>
    <x v="1"/>
    <x v="6"/>
    <x v="1"/>
    <x v="0"/>
  </r>
  <r>
    <x v="6"/>
    <x v="0"/>
    <x v="31"/>
    <x v="2"/>
    <x v="49"/>
    <x v="18"/>
    <x v="92"/>
    <x v="9"/>
    <x v="1"/>
    <x v="6"/>
    <x v="4"/>
    <x v="3"/>
    <x v="0"/>
  </r>
  <r>
    <x v="1"/>
    <x v="0"/>
    <x v="31"/>
    <x v="2"/>
    <x v="18"/>
    <x v="4"/>
    <x v="150"/>
    <x v="6"/>
    <x v="0"/>
    <x v="5"/>
    <x v="0"/>
    <x v="2"/>
    <x v="0"/>
  </r>
  <r>
    <x v="2"/>
    <x v="1"/>
    <x v="43"/>
    <x v="0"/>
    <x v="43"/>
    <x v="0"/>
    <x v="160"/>
    <x v="19"/>
    <x v="2"/>
    <x v="0"/>
    <x v="6"/>
    <x v="2"/>
    <x v="0"/>
  </r>
  <r>
    <x v="6"/>
    <x v="0"/>
    <x v="2"/>
    <x v="1"/>
    <x v="22"/>
    <x v="8"/>
    <x v="0"/>
    <x v="11"/>
    <x v="0"/>
    <x v="0"/>
    <x v="7"/>
    <x v="1"/>
    <x v="0"/>
  </r>
  <r>
    <x v="2"/>
    <x v="1"/>
    <x v="57"/>
    <x v="0"/>
    <x v="41"/>
    <x v="15"/>
    <x v="142"/>
    <x v="7"/>
    <x v="2"/>
    <x v="4"/>
    <x v="0"/>
    <x v="8"/>
    <x v="0"/>
  </r>
  <r>
    <x v="6"/>
    <x v="0"/>
    <x v="53"/>
    <x v="0"/>
    <x v="8"/>
    <x v="20"/>
    <x v="52"/>
    <x v="0"/>
    <x v="2"/>
    <x v="1"/>
    <x v="5"/>
    <x v="9"/>
    <x v="1"/>
  </r>
  <r>
    <x v="0"/>
    <x v="1"/>
    <x v="42"/>
    <x v="1"/>
    <x v="6"/>
    <x v="16"/>
    <x v="7"/>
    <x v="6"/>
    <x v="2"/>
    <x v="5"/>
    <x v="4"/>
    <x v="3"/>
    <x v="0"/>
  </r>
  <r>
    <x v="0"/>
    <x v="1"/>
    <x v="29"/>
    <x v="0"/>
    <x v="16"/>
    <x v="10"/>
    <x v="61"/>
    <x v="7"/>
    <x v="0"/>
    <x v="6"/>
    <x v="9"/>
    <x v="6"/>
    <x v="0"/>
  </r>
  <r>
    <x v="6"/>
    <x v="0"/>
    <x v="41"/>
    <x v="0"/>
    <x v="26"/>
    <x v="13"/>
    <x v="122"/>
    <x v="7"/>
    <x v="2"/>
    <x v="9"/>
    <x v="9"/>
    <x v="1"/>
    <x v="0"/>
  </r>
  <r>
    <x v="3"/>
    <x v="1"/>
    <x v="16"/>
    <x v="0"/>
    <x v="37"/>
    <x v="21"/>
    <x v="68"/>
    <x v="5"/>
    <x v="1"/>
    <x v="0"/>
    <x v="3"/>
    <x v="7"/>
    <x v="0"/>
  </r>
  <r>
    <x v="0"/>
    <x v="0"/>
    <x v="55"/>
    <x v="0"/>
    <x v="30"/>
    <x v="13"/>
    <x v="97"/>
    <x v="18"/>
    <x v="1"/>
    <x v="6"/>
    <x v="8"/>
    <x v="8"/>
    <x v="0"/>
  </r>
  <r>
    <x v="3"/>
    <x v="0"/>
    <x v="58"/>
    <x v="0"/>
    <x v="26"/>
    <x v="6"/>
    <x v="30"/>
    <x v="1"/>
    <x v="2"/>
    <x v="7"/>
    <x v="5"/>
    <x v="6"/>
    <x v="0"/>
  </r>
  <r>
    <x v="2"/>
    <x v="0"/>
    <x v="53"/>
    <x v="1"/>
    <x v="20"/>
    <x v="10"/>
    <x v="93"/>
    <x v="3"/>
    <x v="2"/>
    <x v="8"/>
    <x v="2"/>
    <x v="2"/>
    <x v="0"/>
  </r>
  <r>
    <x v="0"/>
    <x v="1"/>
    <x v="53"/>
    <x v="0"/>
    <x v="39"/>
    <x v="8"/>
    <x v="122"/>
    <x v="20"/>
    <x v="1"/>
    <x v="3"/>
    <x v="3"/>
    <x v="9"/>
    <x v="0"/>
  </r>
  <r>
    <x v="3"/>
    <x v="1"/>
    <x v="24"/>
    <x v="1"/>
    <x v="43"/>
    <x v="6"/>
    <x v="152"/>
    <x v="0"/>
    <x v="0"/>
    <x v="6"/>
    <x v="0"/>
    <x v="4"/>
    <x v="0"/>
  </r>
  <r>
    <x v="6"/>
    <x v="1"/>
    <x v="32"/>
    <x v="0"/>
    <x v="6"/>
    <x v="22"/>
    <x v="22"/>
    <x v="5"/>
    <x v="0"/>
    <x v="8"/>
    <x v="7"/>
    <x v="6"/>
    <x v="0"/>
  </r>
  <r>
    <x v="1"/>
    <x v="0"/>
    <x v="24"/>
    <x v="0"/>
    <x v="5"/>
    <x v="9"/>
    <x v="89"/>
    <x v="19"/>
    <x v="0"/>
    <x v="4"/>
    <x v="6"/>
    <x v="5"/>
    <x v="0"/>
  </r>
  <r>
    <x v="1"/>
    <x v="1"/>
    <x v="46"/>
    <x v="1"/>
    <x v="46"/>
    <x v="3"/>
    <x v="83"/>
    <x v="5"/>
    <x v="2"/>
    <x v="4"/>
    <x v="9"/>
    <x v="6"/>
    <x v="0"/>
  </r>
  <r>
    <x v="6"/>
    <x v="1"/>
    <x v="48"/>
    <x v="0"/>
    <x v="44"/>
    <x v="17"/>
    <x v="98"/>
    <x v="13"/>
    <x v="1"/>
    <x v="4"/>
    <x v="5"/>
    <x v="1"/>
    <x v="0"/>
  </r>
  <r>
    <x v="6"/>
    <x v="1"/>
    <x v="2"/>
    <x v="0"/>
    <x v="48"/>
    <x v="8"/>
    <x v="146"/>
    <x v="9"/>
    <x v="1"/>
    <x v="1"/>
    <x v="4"/>
    <x v="2"/>
    <x v="0"/>
  </r>
  <r>
    <x v="3"/>
    <x v="1"/>
    <x v="62"/>
    <x v="2"/>
    <x v="3"/>
    <x v="12"/>
    <x v="161"/>
    <x v="0"/>
    <x v="2"/>
    <x v="3"/>
    <x v="7"/>
    <x v="0"/>
    <x v="0"/>
  </r>
  <r>
    <x v="0"/>
    <x v="1"/>
    <x v="23"/>
    <x v="0"/>
    <x v="28"/>
    <x v="16"/>
    <x v="117"/>
    <x v="5"/>
    <x v="1"/>
    <x v="7"/>
    <x v="0"/>
    <x v="9"/>
    <x v="0"/>
  </r>
  <r>
    <x v="1"/>
    <x v="1"/>
    <x v="63"/>
    <x v="0"/>
    <x v="45"/>
    <x v="20"/>
    <x v="39"/>
    <x v="2"/>
    <x v="0"/>
    <x v="5"/>
    <x v="0"/>
    <x v="8"/>
    <x v="0"/>
  </r>
  <r>
    <x v="6"/>
    <x v="1"/>
    <x v="31"/>
    <x v="2"/>
    <x v="18"/>
    <x v="10"/>
    <x v="62"/>
    <x v="13"/>
    <x v="1"/>
    <x v="3"/>
    <x v="9"/>
    <x v="1"/>
    <x v="0"/>
  </r>
  <r>
    <x v="3"/>
    <x v="0"/>
    <x v="60"/>
    <x v="1"/>
    <x v="47"/>
    <x v="10"/>
    <x v="113"/>
    <x v="13"/>
    <x v="1"/>
    <x v="7"/>
    <x v="6"/>
    <x v="8"/>
    <x v="0"/>
  </r>
  <r>
    <x v="5"/>
    <x v="0"/>
    <x v="0"/>
    <x v="2"/>
    <x v="24"/>
    <x v="11"/>
    <x v="44"/>
    <x v="3"/>
    <x v="0"/>
    <x v="2"/>
    <x v="2"/>
    <x v="0"/>
    <x v="0"/>
  </r>
  <r>
    <x v="3"/>
    <x v="0"/>
    <x v="49"/>
    <x v="0"/>
    <x v="29"/>
    <x v="17"/>
    <x v="147"/>
    <x v="1"/>
    <x v="2"/>
    <x v="8"/>
    <x v="3"/>
    <x v="9"/>
    <x v="1"/>
  </r>
  <r>
    <x v="4"/>
    <x v="0"/>
    <x v="31"/>
    <x v="1"/>
    <x v="0"/>
    <x v="6"/>
    <x v="162"/>
    <x v="4"/>
    <x v="0"/>
    <x v="8"/>
    <x v="0"/>
    <x v="5"/>
    <x v="0"/>
  </r>
  <r>
    <x v="6"/>
    <x v="1"/>
    <x v="8"/>
    <x v="2"/>
    <x v="18"/>
    <x v="16"/>
    <x v="41"/>
    <x v="4"/>
    <x v="0"/>
    <x v="1"/>
    <x v="6"/>
    <x v="0"/>
    <x v="0"/>
  </r>
  <r>
    <x v="4"/>
    <x v="1"/>
    <x v="36"/>
    <x v="2"/>
    <x v="17"/>
    <x v="22"/>
    <x v="99"/>
    <x v="11"/>
    <x v="0"/>
    <x v="4"/>
    <x v="1"/>
    <x v="3"/>
    <x v="0"/>
  </r>
  <r>
    <x v="1"/>
    <x v="0"/>
    <x v="14"/>
    <x v="0"/>
    <x v="23"/>
    <x v="23"/>
    <x v="68"/>
    <x v="7"/>
    <x v="0"/>
    <x v="5"/>
    <x v="3"/>
    <x v="1"/>
    <x v="0"/>
  </r>
  <r>
    <x v="0"/>
    <x v="0"/>
    <x v="45"/>
    <x v="2"/>
    <x v="46"/>
    <x v="20"/>
    <x v="22"/>
    <x v="7"/>
    <x v="2"/>
    <x v="5"/>
    <x v="6"/>
    <x v="7"/>
    <x v="0"/>
  </r>
  <r>
    <x v="6"/>
    <x v="0"/>
    <x v="8"/>
    <x v="1"/>
    <x v="29"/>
    <x v="18"/>
    <x v="163"/>
    <x v="17"/>
    <x v="2"/>
    <x v="5"/>
    <x v="4"/>
    <x v="6"/>
    <x v="0"/>
  </r>
  <r>
    <x v="3"/>
    <x v="1"/>
    <x v="59"/>
    <x v="0"/>
    <x v="13"/>
    <x v="18"/>
    <x v="115"/>
    <x v="9"/>
    <x v="0"/>
    <x v="7"/>
    <x v="0"/>
    <x v="8"/>
    <x v="0"/>
  </r>
  <r>
    <x v="2"/>
    <x v="1"/>
    <x v="41"/>
    <x v="1"/>
    <x v="18"/>
    <x v="9"/>
    <x v="8"/>
    <x v="4"/>
    <x v="1"/>
    <x v="3"/>
    <x v="6"/>
    <x v="8"/>
    <x v="0"/>
  </r>
  <r>
    <x v="0"/>
    <x v="0"/>
    <x v="63"/>
    <x v="2"/>
    <x v="37"/>
    <x v="20"/>
    <x v="101"/>
    <x v="7"/>
    <x v="0"/>
    <x v="7"/>
    <x v="2"/>
    <x v="2"/>
    <x v="0"/>
  </r>
  <r>
    <x v="5"/>
    <x v="1"/>
    <x v="61"/>
    <x v="0"/>
    <x v="46"/>
    <x v="12"/>
    <x v="30"/>
    <x v="16"/>
    <x v="0"/>
    <x v="7"/>
    <x v="1"/>
    <x v="6"/>
    <x v="0"/>
  </r>
  <r>
    <x v="5"/>
    <x v="1"/>
    <x v="63"/>
    <x v="2"/>
    <x v="42"/>
    <x v="25"/>
    <x v="53"/>
    <x v="5"/>
    <x v="0"/>
    <x v="7"/>
    <x v="2"/>
    <x v="9"/>
    <x v="0"/>
  </r>
  <r>
    <x v="6"/>
    <x v="0"/>
    <x v="45"/>
    <x v="0"/>
    <x v="29"/>
    <x v="19"/>
    <x v="53"/>
    <x v="13"/>
    <x v="2"/>
    <x v="4"/>
    <x v="5"/>
    <x v="7"/>
    <x v="0"/>
  </r>
  <r>
    <x v="6"/>
    <x v="1"/>
    <x v="56"/>
    <x v="0"/>
    <x v="36"/>
    <x v="16"/>
    <x v="142"/>
    <x v="12"/>
    <x v="1"/>
    <x v="0"/>
    <x v="3"/>
    <x v="8"/>
    <x v="0"/>
  </r>
  <r>
    <x v="0"/>
    <x v="0"/>
    <x v="27"/>
    <x v="2"/>
    <x v="39"/>
    <x v="9"/>
    <x v="164"/>
    <x v="14"/>
    <x v="2"/>
    <x v="8"/>
    <x v="2"/>
    <x v="1"/>
    <x v="0"/>
  </r>
  <r>
    <x v="6"/>
    <x v="1"/>
    <x v="57"/>
    <x v="0"/>
    <x v="39"/>
    <x v="13"/>
    <x v="80"/>
    <x v="7"/>
    <x v="2"/>
    <x v="1"/>
    <x v="2"/>
    <x v="9"/>
    <x v="0"/>
  </r>
  <r>
    <x v="6"/>
    <x v="0"/>
    <x v="18"/>
    <x v="2"/>
    <x v="26"/>
    <x v="10"/>
    <x v="16"/>
    <x v="14"/>
    <x v="0"/>
    <x v="9"/>
    <x v="5"/>
    <x v="8"/>
    <x v="0"/>
  </r>
  <r>
    <x v="4"/>
    <x v="0"/>
    <x v="17"/>
    <x v="0"/>
    <x v="6"/>
    <x v="18"/>
    <x v="99"/>
    <x v="19"/>
    <x v="0"/>
    <x v="5"/>
    <x v="7"/>
    <x v="1"/>
    <x v="0"/>
  </r>
  <r>
    <x v="0"/>
    <x v="0"/>
    <x v="69"/>
    <x v="1"/>
    <x v="23"/>
    <x v="12"/>
    <x v="68"/>
    <x v="9"/>
    <x v="1"/>
    <x v="5"/>
    <x v="3"/>
    <x v="0"/>
    <x v="0"/>
  </r>
  <r>
    <x v="3"/>
    <x v="0"/>
    <x v="21"/>
    <x v="2"/>
    <x v="22"/>
    <x v="3"/>
    <x v="48"/>
    <x v="3"/>
    <x v="2"/>
    <x v="6"/>
    <x v="7"/>
    <x v="1"/>
    <x v="0"/>
  </r>
  <r>
    <x v="6"/>
    <x v="1"/>
    <x v="63"/>
    <x v="2"/>
    <x v="0"/>
    <x v="1"/>
    <x v="116"/>
    <x v="6"/>
    <x v="0"/>
    <x v="3"/>
    <x v="0"/>
    <x v="8"/>
    <x v="0"/>
  </r>
  <r>
    <x v="6"/>
    <x v="1"/>
    <x v="58"/>
    <x v="0"/>
    <x v="37"/>
    <x v="16"/>
    <x v="60"/>
    <x v="10"/>
    <x v="1"/>
    <x v="5"/>
    <x v="8"/>
    <x v="3"/>
    <x v="0"/>
  </r>
  <r>
    <x v="0"/>
    <x v="0"/>
    <x v="66"/>
    <x v="0"/>
    <x v="8"/>
    <x v="7"/>
    <x v="2"/>
    <x v="17"/>
    <x v="1"/>
    <x v="2"/>
    <x v="9"/>
    <x v="6"/>
    <x v="0"/>
  </r>
  <r>
    <x v="0"/>
    <x v="0"/>
    <x v="59"/>
    <x v="1"/>
    <x v="3"/>
    <x v="14"/>
    <x v="165"/>
    <x v="8"/>
    <x v="1"/>
    <x v="8"/>
    <x v="9"/>
    <x v="4"/>
    <x v="0"/>
  </r>
  <r>
    <x v="6"/>
    <x v="1"/>
    <x v="25"/>
    <x v="2"/>
    <x v="38"/>
    <x v="12"/>
    <x v="73"/>
    <x v="15"/>
    <x v="2"/>
    <x v="2"/>
    <x v="8"/>
    <x v="8"/>
    <x v="0"/>
  </r>
  <r>
    <x v="3"/>
    <x v="1"/>
    <x v="64"/>
    <x v="0"/>
    <x v="38"/>
    <x v="15"/>
    <x v="68"/>
    <x v="2"/>
    <x v="2"/>
    <x v="3"/>
    <x v="5"/>
    <x v="2"/>
    <x v="0"/>
  </r>
  <r>
    <x v="2"/>
    <x v="0"/>
    <x v="9"/>
    <x v="0"/>
    <x v="26"/>
    <x v="3"/>
    <x v="161"/>
    <x v="9"/>
    <x v="0"/>
    <x v="4"/>
    <x v="8"/>
    <x v="3"/>
    <x v="0"/>
  </r>
  <r>
    <x v="0"/>
    <x v="1"/>
    <x v="13"/>
    <x v="0"/>
    <x v="29"/>
    <x v="0"/>
    <x v="59"/>
    <x v="12"/>
    <x v="2"/>
    <x v="7"/>
    <x v="8"/>
    <x v="4"/>
    <x v="0"/>
  </r>
  <r>
    <x v="1"/>
    <x v="0"/>
    <x v="47"/>
    <x v="1"/>
    <x v="41"/>
    <x v="22"/>
    <x v="1"/>
    <x v="19"/>
    <x v="2"/>
    <x v="5"/>
    <x v="8"/>
    <x v="7"/>
    <x v="0"/>
  </r>
  <r>
    <x v="2"/>
    <x v="1"/>
    <x v="26"/>
    <x v="0"/>
    <x v="44"/>
    <x v="8"/>
    <x v="166"/>
    <x v="2"/>
    <x v="2"/>
    <x v="4"/>
    <x v="4"/>
    <x v="8"/>
    <x v="0"/>
  </r>
  <r>
    <x v="3"/>
    <x v="1"/>
    <x v="17"/>
    <x v="0"/>
    <x v="42"/>
    <x v="14"/>
    <x v="153"/>
    <x v="6"/>
    <x v="1"/>
    <x v="5"/>
    <x v="6"/>
    <x v="1"/>
    <x v="0"/>
  </r>
  <r>
    <x v="4"/>
    <x v="1"/>
    <x v="10"/>
    <x v="2"/>
    <x v="18"/>
    <x v="12"/>
    <x v="37"/>
    <x v="7"/>
    <x v="0"/>
    <x v="4"/>
    <x v="6"/>
    <x v="8"/>
    <x v="0"/>
  </r>
  <r>
    <x v="4"/>
    <x v="0"/>
    <x v="25"/>
    <x v="1"/>
    <x v="50"/>
    <x v="13"/>
    <x v="167"/>
    <x v="11"/>
    <x v="0"/>
    <x v="1"/>
    <x v="7"/>
    <x v="3"/>
    <x v="0"/>
  </r>
  <r>
    <x v="4"/>
    <x v="1"/>
    <x v="49"/>
    <x v="1"/>
    <x v="0"/>
    <x v="18"/>
    <x v="12"/>
    <x v="16"/>
    <x v="1"/>
    <x v="2"/>
    <x v="4"/>
    <x v="5"/>
    <x v="0"/>
  </r>
  <r>
    <x v="6"/>
    <x v="1"/>
    <x v="33"/>
    <x v="1"/>
    <x v="36"/>
    <x v="17"/>
    <x v="168"/>
    <x v="3"/>
    <x v="2"/>
    <x v="2"/>
    <x v="6"/>
    <x v="0"/>
    <x v="0"/>
  </r>
  <r>
    <x v="0"/>
    <x v="0"/>
    <x v="19"/>
    <x v="1"/>
    <x v="31"/>
    <x v="19"/>
    <x v="80"/>
    <x v="5"/>
    <x v="1"/>
    <x v="0"/>
    <x v="7"/>
    <x v="0"/>
    <x v="0"/>
  </r>
  <r>
    <x v="1"/>
    <x v="1"/>
    <x v="45"/>
    <x v="1"/>
    <x v="5"/>
    <x v="22"/>
    <x v="155"/>
    <x v="14"/>
    <x v="1"/>
    <x v="3"/>
    <x v="9"/>
    <x v="7"/>
    <x v="0"/>
  </r>
  <r>
    <x v="6"/>
    <x v="0"/>
    <x v="22"/>
    <x v="1"/>
    <x v="38"/>
    <x v="2"/>
    <x v="169"/>
    <x v="8"/>
    <x v="0"/>
    <x v="2"/>
    <x v="9"/>
    <x v="2"/>
    <x v="0"/>
  </r>
  <r>
    <x v="4"/>
    <x v="0"/>
    <x v="65"/>
    <x v="2"/>
    <x v="21"/>
    <x v="12"/>
    <x v="154"/>
    <x v="19"/>
    <x v="1"/>
    <x v="3"/>
    <x v="9"/>
    <x v="4"/>
    <x v="0"/>
  </r>
  <r>
    <x v="4"/>
    <x v="0"/>
    <x v="54"/>
    <x v="2"/>
    <x v="15"/>
    <x v="16"/>
    <x v="170"/>
    <x v="11"/>
    <x v="2"/>
    <x v="0"/>
    <x v="5"/>
    <x v="1"/>
    <x v="0"/>
  </r>
  <r>
    <x v="2"/>
    <x v="0"/>
    <x v="8"/>
    <x v="2"/>
    <x v="15"/>
    <x v="10"/>
    <x v="62"/>
    <x v="18"/>
    <x v="0"/>
    <x v="1"/>
    <x v="9"/>
    <x v="4"/>
    <x v="0"/>
  </r>
  <r>
    <x v="4"/>
    <x v="0"/>
    <x v="35"/>
    <x v="1"/>
    <x v="32"/>
    <x v="0"/>
    <x v="124"/>
    <x v="16"/>
    <x v="1"/>
    <x v="2"/>
    <x v="2"/>
    <x v="2"/>
    <x v="0"/>
  </r>
  <r>
    <x v="3"/>
    <x v="1"/>
    <x v="55"/>
    <x v="0"/>
    <x v="5"/>
    <x v="13"/>
    <x v="7"/>
    <x v="12"/>
    <x v="2"/>
    <x v="6"/>
    <x v="7"/>
    <x v="4"/>
    <x v="0"/>
  </r>
  <r>
    <x v="4"/>
    <x v="1"/>
    <x v="34"/>
    <x v="2"/>
    <x v="1"/>
    <x v="6"/>
    <x v="133"/>
    <x v="19"/>
    <x v="0"/>
    <x v="6"/>
    <x v="9"/>
    <x v="3"/>
    <x v="0"/>
  </r>
  <r>
    <x v="5"/>
    <x v="1"/>
    <x v="32"/>
    <x v="2"/>
    <x v="11"/>
    <x v="1"/>
    <x v="153"/>
    <x v="13"/>
    <x v="0"/>
    <x v="9"/>
    <x v="9"/>
    <x v="3"/>
    <x v="0"/>
  </r>
  <r>
    <x v="4"/>
    <x v="1"/>
    <x v="31"/>
    <x v="0"/>
    <x v="27"/>
    <x v="1"/>
    <x v="28"/>
    <x v="9"/>
    <x v="0"/>
    <x v="3"/>
    <x v="1"/>
    <x v="2"/>
    <x v="0"/>
  </r>
  <r>
    <x v="5"/>
    <x v="0"/>
    <x v="20"/>
    <x v="1"/>
    <x v="38"/>
    <x v="21"/>
    <x v="171"/>
    <x v="4"/>
    <x v="1"/>
    <x v="0"/>
    <x v="6"/>
    <x v="7"/>
    <x v="0"/>
  </r>
  <r>
    <x v="6"/>
    <x v="0"/>
    <x v="22"/>
    <x v="0"/>
    <x v="20"/>
    <x v="24"/>
    <x v="71"/>
    <x v="8"/>
    <x v="1"/>
    <x v="4"/>
    <x v="4"/>
    <x v="5"/>
    <x v="0"/>
  </r>
  <r>
    <x v="6"/>
    <x v="0"/>
    <x v="48"/>
    <x v="2"/>
    <x v="48"/>
    <x v="21"/>
    <x v="53"/>
    <x v="9"/>
    <x v="0"/>
    <x v="1"/>
    <x v="6"/>
    <x v="6"/>
    <x v="0"/>
  </r>
  <r>
    <x v="3"/>
    <x v="0"/>
    <x v="32"/>
    <x v="2"/>
    <x v="5"/>
    <x v="22"/>
    <x v="140"/>
    <x v="17"/>
    <x v="2"/>
    <x v="6"/>
    <x v="8"/>
    <x v="3"/>
    <x v="0"/>
  </r>
  <r>
    <x v="2"/>
    <x v="1"/>
    <x v="34"/>
    <x v="2"/>
    <x v="23"/>
    <x v="16"/>
    <x v="172"/>
    <x v="7"/>
    <x v="2"/>
    <x v="9"/>
    <x v="9"/>
    <x v="7"/>
    <x v="0"/>
  </r>
  <r>
    <x v="1"/>
    <x v="0"/>
    <x v="27"/>
    <x v="2"/>
    <x v="43"/>
    <x v="4"/>
    <x v="22"/>
    <x v="14"/>
    <x v="2"/>
    <x v="9"/>
    <x v="0"/>
    <x v="1"/>
    <x v="0"/>
  </r>
  <r>
    <x v="5"/>
    <x v="1"/>
    <x v="12"/>
    <x v="2"/>
    <x v="7"/>
    <x v="12"/>
    <x v="55"/>
    <x v="15"/>
    <x v="1"/>
    <x v="6"/>
    <x v="9"/>
    <x v="0"/>
    <x v="0"/>
  </r>
  <r>
    <x v="4"/>
    <x v="1"/>
    <x v="36"/>
    <x v="0"/>
    <x v="38"/>
    <x v="8"/>
    <x v="79"/>
    <x v="17"/>
    <x v="2"/>
    <x v="6"/>
    <x v="1"/>
    <x v="9"/>
    <x v="0"/>
  </r>
  <r>
    <x v="6"/>
    <x v="0"/>
    <x v="0"/>
    <x v="0"/>
    <x v="28"/>
    <x v="22"/>
    <x v="173"/>
    <x v="12"/>
    <x v="0"/>
    <x v="2"/>
    <x v="7"/>
    <x v="9"/>
    <x v="0"/>
  </r>
  <r>
    <x v="1"/>
    <x v="0"/>
    <x v="29"/>
    <x v="1"/>
    <x v="8"/>
    <x v="8"/>
    <x v="112"/>
    <x v="16"/>
    <x v="0"/>
    <x v="6"/>
    <x v="8"/>
    <x v="0"/>
    <x v="0"/>
  </r>
  <r>
    <x v="6"/>
    <x v="1"/>
    <x v="58"/>
    <x v="2"/>
    <x v="41"/>
    <x v="14"/>
    <x v="5"/>
    <x v="15"/>
    <x v="0"/>
    <x v="5"/>
    <x v="5"/>
    <x v="3"/>
    <x v="0"/>
  </r>
  <r>
    <x v="0"/>
    <x v="1"/>
    <x v="19"/>
    <x v="2"/>
    <x v="6"/>
    <x v="19"/>
    <x v="20"/>
    <x v="0"/>
    <x v="2"/>
    <x v="9"/>
    <x v="3"/>
    <x v="3"/>
    <x v="0"/>
  </r>
  <r>
    <x v="1"/>
    <x v="0"/>
    <x v="42"/>
    <x v="0"/>
    <x v="8"/>
    <x v="15"/>
    <x v="55"/>
    <x v="16"/>
    <x v="1"/>
    <x v="3"/>
    <x v="5"/>
    <x v="7"/>
    <x v="0"/>
  </r>
  <r>
    <x v="2"/>
    <x v="1"/>
    <x v="50"/>
    <x v="0"/>
    <x v="50"/>
    <x v="21"/>
    <x v="21"/>
    <x v="16"/>
    <x v="0"/>
    <x v="1"/>
    <x v="5"/>
    <x v="3"/>
    <x v="0"/>
  </r>
  <r>
    <x v="4"/>
    <x v="1"/>
    <x v="2"/>
    <x v="2"/>
    <x v="4"/>
    <x v="16"/>
    <x v="174"/>
    <x v="2"/>
    <x v="2"/>
    <x v="6"/>
    <x v="7"/>
    <x v="7"/>
    <x v="0"/>
  </r>
  <r>
    <x v="3"/>
    <x v="1"/>
    <x v="64"/>
    <x v="1"/>
    <x v="16"/>
    <x v="9"/>
    <x v="175"/>
    <x v="5"/>
    <x v="1"/>
    <x v="3"/>
    <x v="8"/>
    <x v="7"/>
    <x v="0"/>
  </r>
  <r>
    <x v="1"/>
    <x v="0"/>
    <x v="24"/>
    <x v="2"/>
    <x v="41"/>
    <x v="5"/>
    <x v="33"/>
    <x v="0"/>
    <x v="0"/>
    <x v="8"/>
    <x v="2"/>
    <x v="5"/>
    <x v="0"/>
  </r>
  <r>
    <x v="6"/>
    <x v="0"/>
    <x v="41"/>
    <x v="1"/>
    <x v="30"/>
    <x v="24"/>
    <x v="115"/>
    <x v="20"/>
    <x v="1"/>
    <x v="7"/>
    <x v="7"/>
    <x v="0"/>
    <x v="1"/>
  </r>
  <r>
    <x v="3"/>
    <x v="0"/>
    <x v="59"/>
    <x v="2"/>
    <x v="19"/>
    <x v="3"/>
    <x v="33"/>
    <x v="3"/>
    <x v="2"/>
    <x v="5"/>
    <x v="9"/>
    <x v="2"/>
    <x v="0"/>
  </r>
  <r>
    <x v="3"/>
    <x v="1"/>
    <x v="16"/>
    <x v="2"/>
    <x v="8"/>
    <x v="11"/>
    <x v="83"/>
    <x v="0"/>
    <x v="2"/>
    <x v="9"/>
    <x v="2"/>
    <x v="7"/>
    <x v="0"/>
  </r>
  <r>
    <x v="3"/>
    <x v="1"/>
    <x v="21"/>
    <x v="0"/>
    <x v="21"/>
    <x v="0"/>
    <x v="157"/>
    <x v="19"/>
    <x v="1"/>
    <x v="4"/>
    <x v="8"/>
    <x v="2"/>
    <x v="0"/>
  </r>
  <r>
    <x v="0"/>
    <x v="0"/>
    <x v="20"/>
    <x v="2"/>
    <x v="43"/>
    <x v="17"/>
    <x v="98"/>
    <x v="16"/>
    <x v="1"/>
    <x v="7"/>
    <x v="3"/>
    <x v="8"/>
    <x v="0"/>
  </r>
  <r>
    <x v="6"/>
    <x v="1"/>
    <x v="26"/>
    <x v="1"/>
    <x v="35"/>
    <x v="6"/>
    <x v="137"/>
    <x v="14"/>
    <x v="1"/>
    <x v="2"/>
    <x v="1"/>
    <x v="8"/>
    <x v="0"/>
  </r>
  <r>
    <x v="6"/>
    <x v="0"/>
    <x v="45"/>
    <x v="0"/>
    <x v="22"/>
    <x v="20"/>
    <x v="176"/>
    <x v="19"/>
    <x v="1"/>
    <x v="6"/>
    <x v="3"/>
    <x v="4"/>
    <x v="0"/>
  </r>
  <r>
    <x v="2"/>
    <x v="0"/>
    <x v="8"/>
    <x v="0"/>
    <x v="1"/>
    <x v="13"/>
    <x v="130"/>
    <x v="3"/>
    <x v="2"/>
    <x v="5"/>
    <x v="6"/>
    <x v="8"/>
    <x v="0"/>
  </r>
  <r>
    <x v="1"/>
    <x v="0"/>
    <x v="14"/>
    <x v="1"/>
    <x v="16"/>
    <x v="7"/>
    <x v="145"/>
    <x v="18"/>
    <x v="2"/>
    <x v="8"/>
    <x v="6"/>
    <x v="1"/>
    <x v="0"/>
  </r>
  <r>
    <x v="6"/>
    <x v="0"/>
    <x v="6"/>
    <x v="2"/>
    <x v="7"/>
    <x v="1"/>
    <x v="132"/>
    <x v="4"/>
    <x v="0"/>
    <x v="0"/>
    <x v="7"/>
    <x v="3"/>
    <x v="0"/>
  </r>
  <r>
    <x v="3"/>
    <x v="1"/>
    <x v="64"/>
    <x v="2"/>
    <x v="20"/>
    <x v="5"/>
    <x v="92"/>
    <x v="17"/>
    <x v="2"/>
    <x v="6"/>
    <x v="1"/>
    <x v="9"/>
    <x v="0"/>
  </r>
  <r>
    <x v="1"/>
    <x v="0"/>
    <x v="47"/>
    <x v="1"/>
    <x v="27"/>
    <x v="21"/>
    <x v="8"/>
    <x v="11"/>
    <x v="2"/>
    <x v="6"/>
    <x v="8"/>
    <x v="4"/>
    <x v="0"/>
  </r>
  <r>
    <x v="2"/>
    <x v="1"/>
    <x v="7"/>
    <x v="0"/>
    <x v="26"/>
    <x v="9"/>
    <x v="104"/>
    <x v="14"/>
    <x v="0"/>
    <x v="6"/>
    <x v="3"/>
    <x v="3"/>
    <x v="0"/>
  </r>
  <r>
    <x v="0"/>
    <x v="1"/>
    <x v="70"/>
    <x v="2"/>
    <x v="45"/>
    <x v="12"/>
    <x v="10"/>
    <x v="13"/>
    <x v="0"/>
    <x v="4"/>
    <x v="4"/>
    <x v="5"/>
    <x v="0"/>
  </r>
  <r>
    <x v="6"/>
    <x v="1"/>
    <x v="17"/>
    <x v="1"/>
    <x v="1"/>
    <x v="17"/>
    <x v="177"/>
    <x v="8"/>
    <x v="1"/>
    <x v="5"/>
    <x v="6"/>
    <x v="5"/>
    <x v="0"/>
  </r>
  <r>
    <x v="1"/>
    <x v="0"/>
    <x v="23"/>
    <x v="0"/>
    <x v="29"/>
    <x v="18"/>
    <x v="65"/>
    <x v="16"/>
    <x v="0"/>
    <x v="9"/>
    <x v="3"/>
    <x v="7"/>
    <x v="0"/>
  </r>
  <r>
    <x v="6"/>
    <x v="1"/>
    <x v="38"/>
    <x v="2"/>
    <x v="35"/>
    <x v="2"/>
    <x v="50"/>
    <x v="11"/>
    <x v="2"/>
    <x v="2"/>
    <x v="5"/>
    <x v="8"/>
    <x v="0"/>
  </r>
  <r>
    <x v="3"/>
    <x v="1"/>
    <x v="69"/>
    <x v="1"/>
    <x v="22"/>
    <x v="6"/>
    <x v="93"/>
    <x v="5"/>
    <x v="1"/>
    <x v="8"/>
    <x v="5"/>
    <x v="4"/>
    <x v="0"/>
  </r>
  <r>
    <x v="2"/>
    <x v="0"/>
    <x v="51"/>
    <x v="1"/>
    <x v="10"/>
    <x v="17"/>
    <x v="12"/>
    <x v="0"/>
    <x v="0"/>
    <x v="1"/>
    <x v="2"/>
    <x v="7"/>
    <x v="0"/>
  </r>
  <r>
    <x v="2"/>
    <x v="1"/>
    <x v="60"/>
    <x v="0"/>
    <x v="13"/>
    <x v="19"/>
    <x v="120"/>
    <x v="0"/>
    <x v="2"/>
    <x v="2"/>
    <x v="4"/>
    <x v="0"/>
    <x v="0"/>
  </r>
  <r>
    <x v="6"/>
    <x v="0"/>
    <x v="48"/>
    <x v="0"/>
    <x v="3"/>
    <x v="7"/>
    <x v="58"/>
    <x v="10"/>
    <x v="2"/>
    <x v="7"/>
    <x v="1"/>
    <x v="9"/>
    <x v="0"/>
  </r>
  <r>
    <x v="5"/>
    <x v="1"/>
    <x v="39"/>
    <x v="0"/>
    <x v="41"/>
    <x v="12"/>
    <x v="88"/>
    <x v="10"/>
    <x v="0"/>
    <x v="1"/>
    <x v="3"/>
    <x v="6"/>
    <x v="0"/>
  </r>
  <r>
    <x v="6"/>
    <x v="0"/>
    <x v="55"/>
    <x v="2"/>
    <x v="14"/>
    <x v="7"/>
    <x v="3"/>
    <x v="19"/>
    <x v="0"/>
    <x v="4"/>
    <x v="3"/>
    <x v="4"/>
    <x v="0"/>
  </r>
  <r>
    <x v="5"/>
    <x v="1"/>
    <x v="36"/>
    <x v="1"/>
    <x v="32"/>
    <x v="3"/>
    <x v="134"/>
    <x v="14"/>
    <x v="2"/>
    <x v="8"/>
    <x v="3"/>
    <x v="9"/>
    <x v="0"/>
  </r>
  <r>
    <x v="6"/>
    <x v="1"/>
    <x v="20"/>
    <x v="1"/>
    <x v="35"/>
    <x v="9"/>
    <x v="3"/>
    <x v="17"/>
    <x v="0"/>
    <x v="8"/>
    <x v="4"/>
    <x v="6"/>
    <x v="0"/>
  </r>
  <r>
    <x v="3"/>
    <x v="1"/>
    <x v="12"/>
    <x v="0"/>
    <x v="40"/>
    <x v="4"/>
    <x v="33"/>
    <x v="6"/>
    <x v="2"/>
    <x v="7"/>
    <x v="5"/>
    <x v="2"/>
    <x v="0"/>
  </r>
  <r>
    <x v="4"/>
    <x v="1"/>
    <x v="66"/>
    <x v="0"/>
    <x v="0"/>
    <x v="14"/>
    <x v="178"/>
    <x v="13"/>
    <x v="0"/>
    <x v="9"/>
    <x v="9"/>
    <x v="8"/>
    <x v="0"/>
  </r>
  <r>
    <x v="3"/>
    <x v="0"/>
    <x v="66"/>
    <x v="1"/>
    <x v="15"/>
    <x v="0"/>
    <x v="88"/>
    <x v="17"/>
    <x v="2"/>
    <x v="4"/>
    <x v="9"/>
    <x v="4"/>
    <x v="0"/>
  </r>
  <r>
    <x v="6"/>
    <x v="1"/>
    <x v="43"/>
    <x v="0"/>
    <x v="37"/>
    <x v="13"/>
    <x v="94"/>
    <x v="7"/>
    <x v="2"/>
    <x v="0"/>
    <x v="7"/>
    <x v="8"/>
    <x v="0"/>
  </r>
  <r>
    <x v="0"/>
    <x v="1"/>
    <x v="23"/>
    <x v="2"/>
    <x v="8"/>
    <x v="8"/>
    <x v="127"/>
    <x v="20"/>
    <x v="0"/>
    <x v="5"/>
    <x v="2"/>
    <x v="9"/>
    <x v="0"/>
  </r>
  <r>
    <x v="5"/>
    <x v="1"/>
    <x v="52"/>
    <x v="1"/>
    <x v="14"/>
    <x v="20"/>
    <x v="89"/>
    <x v="18"/>
    <x v="1"/>
    <x v="6"/>
    <x v="5"/>
    <x v="2"/>
    <x v="0"/>
  </r>
  <r>
    <x v="5"/>
    <x v="1"/>
    <x v="41"/>
    <x v="1"/>
    <x v="22"/>
    <x v="18"/>
    <x v="60"/>
    <x v="0"/>
    <x v="2"/>
    <x v="6"/>
    <x v="4"/>
    <x v="7"/>
    <x v="0"/>
  </r>
  <r>
    <x v="5"/>
    <x v="1"/>
    <x v="15"/>
    <x v="0"/>
    <x v="47"/>
    <x v="15"/>
    <x v="154"/>
    <x v="5"/>
    <x v="1"/>
    <x v="0"/>
    <x v="0"/>
    <x v="5"/>
    <x v="0"/>
  </r>
  <r>
    <x v="1"/>
    <x v="0"/>
    <x v="62"/>
    <x v="2"/>
    <x v="37"/>
    <x v="22"/>
    <x v="61"/>
    <x v="16"/>
    <x v="0"/>
    <x v="3"/>
    <x v="4"/>
    <x v="1"/>
    <x v="0"/>
  </r>
  <r>
    <x v="3"/>
    <x v="0"/>
    <x v="0"/>
    <x v="1"/>
    <x v="29"/>
    <x v="24"/>
    <x v="179"/>
    <x v="9"/>
    <x v="2"/>
    <x v="3"/>
    <x v="6"/>
    <x v="0"/>
    <x v="0"/>
  </r>
  <r>
    <x v="3"/>
    <x v="0"/>
    <x v="49"/>
    <x v="0"/>
    <x v="0"/>
    <x v="24"/>
    <x v="24"/>
    <x v="18"/>
    <x v="2"/>
    <x v="5"/>
    <x v="6"/>
    <x v="0"/>
    <x v="0"/>
  </r>
  <r>
    <x v="5"/>
    <x v="0"/>
    <x v="1"/>
    <x v="2"/>
    <x v="9"/>
    <x v="5"/>
    <x v="42"/>
    <x v="4"/>
    <x v="2"/>
    <x v="3"/>
    <x v="9"/>
    <x v="2"/>
    <x v="0"/>
  </r>
  <r>
    <x v="2"/>
    <x v="0"/>
    <x v="48"/>
    <x v="0"/>
    <x v="19"/>
    <x v="6"/>
    <x v="76"/>
    <x v="20"/>
    <x v="1"/>
    <x v="7"/>
    <x v="7"/>
    <x v="5"/>
    <x v="0"/>
  </r>
  <r>
    <x v="1"/>
    <x v="0"/>
    <x v="36"/>
    <x v="2"/>
    <x v="25"/>
    <x v="1"/>
    <x v="9"/>
    <x v="18"/>
    <x v="1"/>
    <x v="9"/>
    <x v="8"/>
    <x v="9"/>
    <x v="0"/>
  </r>
  <r>
    <x v="0"/>
    <x v="0"/>
    <x v="39"/>
    <x v="0"/>
    <x v="38"/>
    <x v="16"/>
    <x v="121"/>
    <x v="16"/>
    <x v="1"/>
    <x v="7"/>
    <x v="5"/>
    <x v="0"/>
    <x v="0"/>
  </r>
  <r>
    <x v="5"/>
    <x v="0"/>
    <x v="43"/>
    <x v="0"/>
    <x v="6"/>
    <x v="3"/>
    <x v="110"/>
    <x v="15"/>
    <x v="2"/>
    <x v="1"/>
    <x v="8"/>
    <x v="3"/>
    <x v="0"/>
  </r>
  <r>
    <x v="5"/>
    <x v="0"/>
    <x v="9"/>
    <x v="0"/>
    <x v="12"/>
    <x v="15"/>
    <x v="166"/>
    <x v="15"/>
    <x v="2"/>
    <x v="1"/>
    <x v="0"/>
    <x v="0"/>
    <x v="0"/>
  </r>
  <r>
    <x v="0"/>
    <x v="0"/>
    <x v="61"/>
    <x v="2"/>
    <x v="2"/>
    <x v="12"/>
    <x v="157"/>
    <x v="7"/>
    <x v="0"/>
    <x v="8"/>
    <x v="9"/>
    <x v="9"/>
    <x v="0"/>
  </r>
  <r>
    <x v="3"/>
    <x v="1"/>
    <x v="26"/>
    <x v="2"/>
    <x v="35"/>
    <x v="2"/>
    <x v="111"/>
    <x v="14"/>
    <x v="1"/>
    <x v="4"/>
    <x v="8"/>
    <x v="8"/>
    <x v="0"/>
  </r>
  <r>
    <x v="5"/>
    <x v="1"/>
    <x v="53"/>
    <x v="2"/>
    <x v="0"/>
    <x v="24"/>
    <x v="144"/>
    <x v="9"/>
    <x v="2"/>
    <x v="7"/>
    <x v="2"/>
    <x v="3"/>
    <x v="0"/>
  </r>
  <r>
    <x v="4"/>
    <x v="0"/>
    <x v="64"/>
    <x v="1"/>
    <x v="35"/>
    <x v="12"/>
    <x v="115"/>
    <x v="0"/>
    <x v="0"/>
    <x v="5"/>
    <x v="8"/>
    <x v="6"/>
    <x v="0"/>
  </r>
  <r>
    <x v="6"/>
    <x v="1"/>
    <x v="57"/>
    <x v="0"/>
    <x v="24"/>
    <x v="23"/>
    <x v="158"/>
    <x v="11"/>
    <x v="0"/>
    <x v="5"/>
    <x v="1"/>
    <x v="5"/>
    <x v="0"/>
  </r>
  <r>
    <x v="6"/>
    <x v="1"/>
    <x v="63"/>
    <x v="2"/>
    <x v="22"/>
    <x v="11"/>
    <x v="37"/>
    <x v="16"/>
    <x v="2"/>
    <x v="7"/>
    <x v="2"/>
    <x v="8"/>
    <x v="0"/>
  </r>
  <r>
    <x v="2"/>
    <x v="0"/>
    <x v="68"/>
    <x v="1"/>
    <x v="11"/>
    <x v="11"/>
    <x v="155"/>
    <x v="17"/>
    <x v="1"/>
    <x v="0"/>
    <x v="8"/>
    <x v="2"/>
    <x v="0"/>
  </r>
  <r>
    <x v="0"/>
    <x v="0"/>
    <x v="55"/>
    <x v="0"/>
    <x v="48"/>
    <x v="13"/>
    <x v="74"/>
    <x v="18"/>
    <x v="2"/>
    <x v="4"/>
    <x v="0"/>
    <x v="2"/>
    <x v="0"/>
  </r>
  <r>
    <x v="3"/>
    <x v="1"/>
    <x v="45"/>
    <x v="1"/>
    <x v="37"/>
    <x v="20"/>
    <x v="144"/>
    <x v="15"/>
    <x v="0"/>
    <x v="2"/>
    <x v="2"/>
    <x v="6"/>
    <x v="0"/>
  </r>
  <r>
    <x v="2"/>
    <x v="0"/>
    <x v="6"/>
    <x v="2"/>
    <x v="39"/>
    <x v="20"/>
    <x v="96"/>
    <x v="7"/>
    <x v="1"/>
    <x v="1"/>
    <x v="6"/>
    <x v="9"/>
    <x v="0"/>
  </r>
  <r>
    <x v="1"/>
    <x v="0"/>
    <x v="35"/>
    <x v="1"/>
    <x v="9"/>
    <x v="20"/>
    <x v="46"/>
    <x v="7"/>
    <x v="0"/>
    <x v="9"/>
    <x v="8"/>
    <x v="3"/>
    <x v="0"/>
  </r>
  <r>
    <x v="2"/>
    <x v="0"/>
    <x v="2"/>
    <x v="2"/>
    <x v="49"/>
    <x v="14"/>
    <x v="180"/>
    <x v="9"/>
    <x v="2"/>
    <x v="6"/>
    <x v="1"/>
    <x v="0"/>
    <x v="0"/>
  </r>
  <r>
    <x v="0"/>
    <x v="0"/>
    <x v="46"/>
    <x v="0"/>
    <x v="28"/>
    <x v="16"/>
    <x v="99"/>
    <x v="20"/>
    <x v="0"/>
    <x v="1"/>
    <x v="5"/>
    <x v="9"/>
    <x v="0"/>
  </r>
  <r>
    <x v="6"/>
    <x v="1"/>
    <x v="22"/>
    <x v="0"/>
    <x v="24"/>
    <x v="11"/>
    <x v="85"/>
    <x v="16"/>
    <x v="2"/>
    <x v="6"/>
    <x v="6"/>
    <x v="4"/>
    <x v="0"/>
  </r>
  <r>
    <x v="5"/>
    <x v="0"/>
    <x v="23"/>
    <x v="2"/>
    <x v="22"/>
    <x v="17"/>
    <x v="128"/>
    <x v="4"/>
    <x v="2"/>
    <x v="0"/>
    <x v="8"/>
    <x v="7"/>
    <x v="0"/>
  </r>
  <r>
    <x v="3"/>
    <x v="0"/>
    <x v="24"/>
    <x v="0"/>
    <x v="26"/>
    <x v="6"/>
    <x v="5"/>
    <x v="8"/>
    <x v="0"/>
    <x v="2"/>
    <x v="7"/>
    <x v="3"/>
    <x v="0"/>
  </r>
  <r>
    <x v="2"/>
    <x v="1"/>
    <x v="21"/>
    <x v="1"/>
    <x v="6"/>
    <x v="4"/>
    <x v="117"/>
    <x v="4"/>
    <x v="2"/>
    <x v="0"/>
    <x v="1"/>
    <x v="0"/>
    <x v="0"/>
  </r>
  <r>
    <x v="5"/>
    <x v="0"/>
    <x v="31"/>
    <x v="1"/>
    <x v="44"/>
    <x v="12"/>
    <x v="156"/>
    <x v="13"/>
    <x v="2"/>
    <x v="6"/>
    <x v="7"/>
    <x v="5"/>
    <x v="0"/>
  </r>
  <r>
    <x v="4"/>
    <x v="1"/>
    <x v="35"/>
    <x v="2"/>
    <x v="13"/>
    <x v="18"/>
    <x v="119"/>
    <x v="20"/>
    <x v="2"/>
    <x v="9"/>
    <x v="2"/>
    <x v="1"/>
    <x v="0"/>
  </r>
  <r>
    <x v="4"/>
    <x v="1"/>
    <x v="65"/>
    <x v="0"/>
    <x v="33"/>
    <x v="14"/>
    <x v="81"/>
    <x v="6"/>
    <x v="2"/>
    <x v="2"/>
    <x v="1"/>
    <x v="4"/>
    <x v="0"/>
  </r>
  <r>
    <x v="0"/>
    <x v="0"/>
    <x v="19"/>
    <x v="0"/>
    <x v="36"/>
    <x v="25"/>
    <x v="116"/>
    <x v="3"/>
    <x v="1"/>
    <x v="8"/>
    <x v="0"/>
    <x v="6"/>
    <x v="0"/>
  </r>
  <r>
    <x v="0"/>
    <x v="0"/>
    <x v="7"/>
    <x v="0"/>
    <x v="35"/>
    <x v="10"/>
    <x v="144"/>
    <x v="1"/>
    <x v="0"/>
    <x v="2"/>
    <x v="0"/>
    <x v="9"/>
    <x v="0"/>
  </r>
  <r>
    <x v="0"/>
    <x v="1"/>
    <x v="27"/>
    <x v="1"/>
    <x v="4"/>
    <x v="8"/>
    <x v="53"/>
    <x v="13"/>
    <x v="2"/>
    <x v="3"/>
    <x v="5"/>
    <x v="1"/>
    <x v="0"/>
  </r>
  <r>
    <x v="1"/>
    <x v="1"/>
    <x v="14"/>
    <x v="0"/>
    <x v="38"/>
    <x v="3"/>
    <x v="132"/>
    <x v="0"/>
    <x v="1"/>
    <x v="2"/>
    <x v="3"/>
    <x v="8"/>
    <x v="0"/>
  </r>
  <r>
    <x v="2"/>
    <x v="1"/>
    <x v="7"/>
    <x v="1"/>
    <x v="38"/>
    <x v="5"/>
    <x v="72"/>
    <x v="18"/>
    <x v="1"/>
    <x v="2"/>
    <x v="9"/>
    <x v="1"/>
    <x v="0"/>
  </r>
  <r>
    <x v="6"/>
    <x v="0"/>
    <x v="31"/>
    <x v="2"/>
    <x v="29"/>
    <x v="18"/>
    <x v="74"/>
    <x v="6"/>
    <x v="0"/>
    <x v="7"/>
    <x v="8"/>
    <x v="0"/>
    <x v="0"/>
  </r>
  <r>
    <x v="2"/>
    <x v="1"/>
    <x v="48"/>
    <x v="0"/>
    <x v="46"/>
    <x v="15"/>
    <x v="145"/>
    <x v="19"/>
    <x v="0"/>
    <x v="2"/>
    <x v="6"/>
    <x v="4"/>
    <x v="0"/>
  </r>
  <r>
    <x v="5"/>
    <x v="1"/>
    <x v="70"/>
    <x v="2"/>
    <x v="29"/>
    <x v="18"/>
    <x v="40"/>
    <x v="14"/>
    <x v="0"/>
    <x v="0"/>
    <x v="1"/>
    <x v="7"/>
    <x v="0"/>
  </r>
  <r>
    <x v="4"/>
    <x v="1"/>
    <x v="64"/>
    <x v="0"/>
    <x v="44"/>
    <x v="9"/>
    <x v="29"/>
    <x v="11"/>
    <x v="0"/>
    <x v="6"/>
    <x v="7"/>
    <x v="0"/>
    <x v="0"/>
  </r>
  <r>
    <x v="4"/>
    <x v="1"/>
    <x v="28"/>
    <x v="1"/>
    <x v="23"/>
    <x v="17"/>
    <x v="1"/>
    <x v="4"/>
    <x v="1"/>
    <x v="2"/>
    <x v="9"/>
    <x v="8"/>
    <x v="0"/>
  </r>
  <r>
    <x v="2"/>
    <x v="1"/>
    <x v="66"/>
    <x v="2"/>
    <x v="50"/>
    <x v="4"/>
    <x v="137"/>
    <x v="14"/>
    <x v="1"/>
    <x v="6"/>
    <x v="5"/>
    <x v="3"/>
    <x v="0"/>
  </r>
  <r>
    <x v="5"/>
    <x v="1"/>
    <x v="30"/>
    <x v="0"/>
    <x v="3"/>
    <x v="18"/>
    <x v="23"/>
    <x v="3"/>
    <x v="0"/>
    <x v="8"/>
    <x v="0"/>
    <x v="1"/>
    <x v="0"/>
  </r>
  <r>
    <x v="2"/>
    <x v="1"/>
    <x v="8"/>
    <x v="1"/>
    <x v="37"/>
    <x v="18"/>
    <x v="174"/>
    <x v="7"/>
    <x v="0"/>
    <x v="9"/>
    <x v="6"/>
    <x v="6"/>
    <x v="0"/>
  </r>
  <r>
    <x v="6"/>
    <x v="0"/>
    <x v="34"/>
    <x v="2"/>
    <x v="18"/>
    <x v="21"/>
    <x v="178"/>
    <x v="11"/>
    <x v="0"/>
    <x v="3"/>
    <x v="4"/>
    <x v="1"/>
    <x v="0"/>
  </r>
  <r>
    <x v="4"/>
    <x v="0"/>
    <x v="20"/>
    <x v="2"/>
    <x v="31"/>
    <x v="15"/>
    <x v="81"/>
    <x v="17"/>
    <x v="0"/>
    <x v="9"/>
    <x v="9"/>
    <x v="7"/>
    <x v="0"/>
  </r>
  <r>
    <x v="6"/>
    <x v="0"/>
    <x v="33"/>
    <x v="1"/>
    <x v="18"/>
    <x v="7"/>
    <x v="53"/>
    <x v="7"/>
    <x v="2"/>
    <x v="1"/>
    <x v="6"/>
    <x v="8"/>
    <x v="0"/>
  </r>
  <r>
    <x v="6"/>
    <x v="0"/>
    <x v="0"/>
    <x v="1"/>
    <x v="41"/>
    <x v="23"/>
    <x v="154"/>
    <x v="11"/>
    <x v="0"/>
    <x v="8"/>
    <x v="5"/>
    <x v="9"/>
    <x v="0"/>
  </r>
  <r>
    <x v="1"/>
    <x v="0"/>
    <x v="42"/>
    <x v="1"/>
    <x v="33"/>
    <x v="6"/>
    <x v="113"/>
    <x v="6"/>
    <x v="0"/>
    <x v="5"/>
    <x v="8"/>
    <x v="0"/>
    <x v="0"/>
  </r>
  <r>
    <x v="2"/>
    <x v="1"/>
    <x v="37"/>
    <x v="0"/>
    <x v="29"/>
    <x v="0"/>
    <x v="179"/>
    <x v="14"/>
    <x v="1"/>
    <x v="8"/>
    <x v="8"/>
    <x v="7"/>
    <x v="0"/>
  </r>
  <r>
    <x v="1"/>
    <x v="0"/>
    <x v="59"/>
    <x v="0"/>
    <x v="49"/>
    <x v="5"/>
    <x v="181"/>
    <x v="0"/>
    <x v="0"/>
    <x v="8"/>
    <x v="3"/>
    <x v="9"/>
    <x v="0"/>
  </r>
  <r>
    <x v="0"/>
    <x v="1"/>
    <x v="58"/>
    <x v="1"/>
    <x v="49"/>
    <x v="23"/>
    <x v="62"/>
    <x v="5"/>
    <x v="1"/>
    <x v="3"/>
    <x v="1"/>
    <x v="5"/>
    <x v="0"/>
  </r>
  <r>
    <x v="4"/>
    <x v="0"/>
    <x v="30"/>
    <x v="2"/>
    <x v="47"/>
    <x v="25"/>
    <x v="154"/>
    <x v="11"/>
    <x v="2"/>
    <x v="2"/>
    <x v="1"/>
    <x v="2"/>
    <x v="0"/>
  </r>
  <r>
    <x v="2"/>
    <x v="1"/>
    <x v="69"/>
    <x v="0"/>
    <x v="4"/>
    <x v="8"/>
    <x v="71"/>
    <x v="1"/>
    <x v="2"/>
    <x v="4"/>
    <x v="6"/>
    <x v="9"/>
    <x v="0"/>
  </r>
  <r>
    <x v="2"/>
    <x v="1"/>
    <x v="67"/>
    <x v="2"/>
    <x v="40"/>
    <x v="21"/>
    <x v="70"/>
    <x v="16"/>
    <x v="0"/>
    <x v="8"/>
    <x v="3"/>
    <x v="6"/>
    <x v="0"/>
  </r>
  <r>
    <x v="0"/>
    <x v="0"/>
    <x v="63"/>
    <x v="2"/>
    <x v="34"/>
    <x v="12"/>
    <x v="158"/>
    <x v="10"/>
    <x v="1"/>
    <x v="8"/>
    <x v="5"/>
    <x v="3"/>
    <x v="0"/>
  </r>
  <r>
    <x v="4"/>
    <x v="0"/>
    <x v="34"/>
    <x v="0"/>
    <x v="5"/>
    <x v="13"/>
    <x v="125"/>
    <x v="2"/>
    <x v="0"/>
    <x v="9"/>
    <x v="6"/>
    <x v="1"/>
    <x v="0"/>
  </r>
  <r>
    <x v="0"/>
    <x v="1"/>
    <x v="61"/>
    <x v="0"/>
    <x v="12"/>
    <x v="19"/>
    <x v="62"/>
    <x v="19"/>
    <x v="0"/>
    <x v="1"/>
    <x v="2"/>
    <x v="8"/>
    <x v="0"/>
  </r>
  <r>
    <x v="2"/>
    <x v="0"/>
    <x v="7"/>
    <x v="1"/>
    <x v="12"/>
    <x v="19"/>
    <x v="65"/>
    <x v="15"/>
    <x v="0"/>
    <x v="4"/>
    <x v="8"/>
    <x v="7"/>
    <x v="0"/>
  </r>
  <r>
    <x v="3"/>
    <x v="0"/>
    <x v="33"/>
    <x v="2"/>
    <x v="21"/>
    <x v="9"/>
    <x v="182"/>
    <x v="15"/>
    <x v="2"/>
    <x v="6"/>
    <x v="6"/>
    <x v="4"/>
    <x v="0"/>
  </r>
  <r>
    <x v="4"/>
    <x v="0"/>
    <x v="27"/>
    <x v="2"/>
    <x v="9"/>
    <x v="18"/>
    <x v="168"/>
    <x v="15"/>
    <x v="0"/>
    <x v="2"/>
    <x v="7"/>
    <x v="2"/>
    <x v="0"/>
  </r>
  <r>
    <x v="2"/>
    <x v="1"/>
    <x v="47"/>
    <x v="1"/>
    <x v="13"/>
    <x v="13"/>
    <x v="183"/>
    <x v="4"/>
    <x v="0"/>
    <x v="1"/>
    <x v="6"/>
    <x v="5"/>
    <x v="0"/>
  </r>
  <r>
    <x v="6"/>
    <x v="0"/>
    <x v="21"/>
    <x v="1"/>
    <x v="34"/>
    <x v="24"/>
    <x v="127"/>
    <x v="18"/>
    <x v="0"/>
    <x v="4"/>
    <x v="9"/>
    <x v="4"/>
    <x v="0"/>
  </r>
  <r>
    <x v="0"/>
    <x v="0"/>
    <x v="26"/>
    <x v="2"/>
    <x v="32"/>
    <x v="11"/>
    <x v="138"/>
    <x v="11"/>
    <x v="2"/>
    <x v="4"/>
    <x v="8"/>
    <x v="8"/>
    <x v="0"/>
  </r>
  <r>
    <x v="5"/>
    <x v="0"/>
    <x v="3"/>
    <x v="1"/>
    <x v="40"/>
    <x v="25"/>
    <x v="9"/>
    <x v="17"/>
    <x v="2"/>
    <x v="0"/>
    <x v="9"/>
    <x v="2"/>
    <x v="0"/>
  </r>
  <r>
    <x v="3"/>
    <x v="0"/>
    <x v="10"/>
    <x v="1"/>
    <x v="17"/>
    <x v="9"/>
    <x v="106"/>
    <x v="17"/>
    <x v="1"/>
    <x v="6"/>
    <x v="0"/>
    <x v="9"/>
    <x v="0"/>
  </r>
  <r>
    <x v="5"/>
    <x v="0"/>
    <x v="21"/>
    <x v="1"/>
    <x v="28"/>
    <x v="14"/>
    <x v="110"/>
    <x v="20"/>
    <x v="2"/>
    <x v="4"/>
    <x v="5"/>
    <x v="1"/>
    <x v="0"/>
  </r>
  <r>
    <x v="4"/>
    <x v="0"/>
    <x v="47"/>
    <x v="1"/>
    <x v="42"/>
    <x v="12"/>
    <x v="170"/>
    <x v="15"/>
    <x v="1"/>
    <x v="4"/>
    <x v="0"/>
    <x v="1"/>
    <x v="0"/>
  </r>
  <r>
    <x v="5"/>
    <x v="1"/>
    <x v="2"/>
    <x v="0"/>
    <x v="4"/>
    <x v="8"/>
    <x v="183"/>
    <x v="18"/>
    <x v="0"/>
    <x v="0"/>
    <x v="4"/>
    <x v="2"/>
    <x v="0"/>
  </r>
  <r>
    <x v="3"/>
    <x v="0"/>
    <x v="56"/>
    <x v="0"/>
    <x v="5"/>
    <x v="5"/>
    <x v="45"/>
    <x v="13"/>
    <x v="0"/>
    <x v="4"/>
    <x v="8"/>
    <x v="4"/>
    <x v="0"/>
  </r>
  <r>
    <x v="0"/>
    <x v="0"/>
    <x v="40"/>
    <x v="0"/>
    <x v="27"/>
    <x v="12"/>
    <x v="184"/>
    <x v="10"/>
    <x v="1"/>
    <x v="3"/>
    <x v="4"/>
    <x v="0"/>
    <x v="0"/>
  </r>
  <r>
    <x v="4"/>
    <x v="1"/>
    <x v="55"/>
    <x v="2"/>
    <x v="34"/>
    <x v="18"/>
    <x v="118"/>
    <x v="11"/>
    <x v="2"/>
    <x v="9"/>
    <x v="6"/>
    <x v="0"/>
    <x v="0"/>
  </r>
  <r>
    <x v="3"/>
    <x v="0"/>
    <x v="31"/>
    <x v="0"/>
    <x v="22"/>
    <x v="24"/>
    <x v="134"/>
    <x v="5"/>
    <x v="1"/>
    <x v="6"/>
    <x v="2"/>
    <x v="2"/>
    <x v="0"/>
  </r>
  <r>
    <x v="1"/>
    <x v="0"/>
    <x v="50"/>
    <x v="0"/>
    <x v="50"/>
    <x v="8"/>
    <x v="82"/>
    <x v="13"/>
    <x v="1"/>
    <x v="8"/>
    <x v="4"/>
    <x v="4"/>
    <x v="0"/>
  </r>
  <r>
    <x v="6"/>
    <x v="0"/>
    <x v="57"/>
    <x v="2"/>
    <x v="36"/>
    <x v="6"/>
    <x v="185"/>
    <x v="3"/>
    <x v="1"/>
    <x v="8"/>
    <x v="8"/>
    <x v="8"/>
    <x v="0"/>
  </r>
  <r>
    <x v="3"/>
    <x v="0"/>
    <x v="2"/>
    <x v="1"/>
    <x v="40"/>
    <x v="18"/>
    <x v="13"/>
    <x v="3"/>
    <x v="0"/>
    <x v="2"/>
    <x v="4"/>
    <x v="2"/>
    <x v="0"/>
  </r>
  <r>
    <x v="4"/>
    <x v="1"/>
    <x v="12"/>
    <x v="1"/>
    <x v="50"/>
    <x v="1"/>
    <x v="185"/>
    <x v="10"/>
    <x v="2"/>
    <x v="9"/>
    <x v="8"/>
    <x v="9"/>
    <x v="0"/>
  </r>
  <r>
    <x v="6"/>
    <x v="0"/>
    <x v="6"/>
    <x v="1"/>
    <x v="8"/>
    <x v="0"/>
    <x v="105"/>
    <x v="15"/>
    <x v="0"/>
    <x v="9"/>
    <x v="6"/>
    <x v="1"/>
    <x v="0"/>
  </r>
  <r>
    <x v="5"/>
    <x v="1"/>
    <x v="29"/>
    <x v="0"/>
    <x v="18"/>
    <x v="12"/>
    <x v="151"/>
    <x v="11"/>
    <x v="0"/>
    <x v="2"/>
    <x v="9"/>
    <x v="0"/>
    <x v="0"/>
  </r>
  <r>
    <x v="1"/>
    <x v="0"/>
    <x v="37"/>
    <x v="2"/>
    <x v="40"/>
    <x v="13"/>
    <x v="186"/>
    <x v="15"/>
    <x v="1"/>
    <x v="0"/>
    <x v="1"/>
    <x v="9"/>
    <x v="0"/>
  </r>
  <r>
    <x v="5"/>
    <x v="0"/>
    <x v="37"/>
    <x v="2"/>
    <x v="48"/>
    <x v="9"/>
    <x v="186"/>
    <x v="13"/>
    <x v="2"/>
    <x v="1"/>
    <x v="4"/>
    <x v="3"/>
    <x v="0"/>
  </r>
  <r>
    <x v="6"/>
    <x v="0"/>
    <x v="50"/>
    <x v="1"/>
    <x v="31"/>
    <x v="2"/>
    <x v="187"/>
    <x v="17"/>
    <x v="2"/>
    <x v="6"/>
    <x v="7"/>
    <x v="7"/>
    <x v="0"/>
  </r>
  <r>
    <x v="5"/>
    <x v="1"/>
    <x v="33"/>
    <x v="2"/>
    <x v="25"/>
    <x v="4"/>
    <x v="188"/>
    <x v="16"/>
    <x v="0"/>
    <x v="7"/>
    <x v="4"/>
    <x v="2"/>
    <x v="0"/>
  </r>
  <r>
    <x v="2"/>
    <x v="0"/>
    <x v="22"/>
    <x v="1"/>
    <x v="41"/>
    <x v="24"/>
    <x v="129"/>
    <x v="0"/>
    <x v="0"/>
    <x v="9"/>
    <x v="7"/>
    <x v="2"/>
    <x v="0"/>
  </r>
  <r>
    <x v="3"/>
    <x v="0"/>
    <x v="3"/>
    <x v="2"/>
    <x v="13"/>
    <x v="8"/>
    <x v="183"/>
    <x v="13"/>
    <x v="2"/>
    <x v="9"/>
    <x v="9"/>
    <x v="7"/>
    <x v="0"/>
  </r>
  <r>
    <x v="4"/>
    <x v="1"/>
    <x v="38"/>
    <x v="0"/>
    <x v="30"/>
    <x v="5"/>
    <x v="110"/>
    <x v="7"/>
    <x v="1"/>
    <x v="2"/>
    <x v="1"/>
    <x v="1"/>
    <x v="0"/>
  </r>
  <r>
    <x v="5"/>
    <x v="0"/>
    <x v="52"/>
    <x v="1"/>
    <x v="0"/>
    <x v="13"/>
    <x v="40"/>
    <x v="8"/>
    <x v="2"/>
    <x v="7"/>
    <x v="5"/>
    <x v="2"/>
    <x v="0"/>
  </r>
  <r>
    <x v="6"/>
    <x v="0"/>
    <x v="3"/>
    <x v="2"/>
    <x v="37"/>
    <x v="20"/>
    <x v="96"/>
    <x v="3"/>
    <x v="2"/>
    <x v="8"/>
    <x v="5"/>
    <x v="5"/>
    <x v="0"/>
  </r>
  <r>
    <x v="3"/>
    <x v="1"/>
    <x v="40"/>
    <x v="0"/>
    <x v="6"/>
    <x v="25"/>
    <x v="187"/>
    <x v="17"/>
    <x v="1"/>
    <x v="4"/>
    <x v="8"/>
    <x v="8"/>
    <x v="0"/>
  </r>
  <r>
    <x v="3"/>
    <x v="1"/>
    <x v="28"/>
    <x v="2"/>
    <x v="26"/>
    <x v="19"/>
    <x v="0"/>
    <x v="2"/>
    <x v="0"/>
    <x v="2"/>
    <x v="6"/>
    <x v="9"/>
    <x v="0"/>
  </r>
  <r>
    <x v="1"/>
    <x v="0"/>
    <x v="14"/>
    <x v="1"/>
    <x v="18"/>
    <x v="14"/>
    <x v="62"/>
    <x v="14"/>
    <x v="0"/>
    <x v="6"/>
    <x v="9"/>
    <x v="9"/>
    <x v="0"/>
  </r>
  <r>
    <x v="3"/>
    <x v="1"/>
    <x v="37"/>
    <x v="0"/>
    <x v="20"/>
    <x v="9"/>
    <x v="82"/>
    <x v="0"/>
    <x v="0"/>
    <x v="8"/>
    <x v="8"/>
    <x v="8"/>
    <x v="0"/>
  </r>
  <r>
    <x v="2"/>
    <x v="1"/>
    <x v="31"/>
    <x v="1"/>
    <x v="4"/>
    <x v="5"/>
    <x v="153"/>
    <x v="19"/>
    <x v="1"/>
    <x v="0"/>
    <x v="0"/>
    <x v="8"/>
    <x v="0"/>
  </r>
  <r>
    <x v="5"/>
    <x v="1"/>
    <x v="56"/>
    <x v="1"/>
    <x v="36"/>
    <x v="4"/>
    <x v="112"/>
    <x v="15"/>
    <x v="1"/>
    <x v="2"/>
    <x v="1"/>
    <x v="7"/>
    <x v="0"/>
  </r>
  <r>
    <x v="2"/>
    <x v="1"/>
    <x v="67"/>
    <x v="1"/>
    <x v="35"/>
    <x v="3"/>
    <x v="163"/>
    <x v="18"/>
    <x v="2"/>
    <x v="5"/>
    <x v="6"/>
    <x v="6"/>
    <x v="0"/>
  </r>
  <r>
    <x v="0"/>
    <x v="0"/>
    <x v="69"/>
    <x v="1"/>
    <x v="0"/>
    <x v="0"/>
    <x v="146"/>
    <x v="8"/>
    <x v="1"/>
    <x v="1"/>
    <x v="2"/>
    <x v="1"/>
    <x v="0"/>
  </r>
  <r>
    <x v="2"/>
    <x v="1"/>
    <x v="24"/>
    <x v="2"/>
    <x v="0"/>
    <x v="21"/>
    <x v="5"/>
    <x v="4"/>
    <x v="1"/>
    <x v="9"/>
    <x v="2"/>
    <x v="3"/>
    <x v="0"/>
  </r>
  <r>
    <x v="1"/>
    <x v="1"/>
    <x v="33"/>
    <x v="0"/>
    <x v="45"/>
    <x v="2"/>
    <x v="41"/>
    <x v="3"/>
    <x v="0"/>
    <x v="0"/>
    <x v="8"/>
    <x v="1"/>
    <x v="0"/>
  </r>
  <r>
    <x v="2"/>
    <x v="0"/>
    <x v="4"/>
    <x v="1"/>
    <x v="31"/>
    <x v="19"/>
    <x v="188"/>
    <x v="17"/>
    <x v="0"/>
    <x v="1"/>
    <x v="7"/>
    <x v="0"/>
    <x v="0"/>
  </r>
  <r>
    <x v="1"/>
    <x v="1"/>
    <x v="38"/>
    <x v="2"/>
    <x v="32"/>
    <x v="21"/>
    <x v="138"/>
    <x v="1"/>
    <x v="1"/>
    <x v="7"/>
    <x v="2"/>
    <x v="3"/>
    <x v="0"/>
  </r>
  <r>
    <x v="1"/>
    <x v="1"/>
    <x v="64"/>
    <x v="2"/>
    <x v="46"/>
    <x v="12"/>
    <x v="130"/>
    <x v="13"/>
    <x v="0"/>
    <x v="8"/>
    <x v="2"/>
    <x v="2"/>
    <x v="0"/>
  </r>
  <r>
    <x v="2"/>
    <x v="1"/>
    <x v="2"/>
    <x v="0"/>
    <x v="31"/>
    <x v="21"/>
    <x v="189"/>
    <x v="4"/>
    <x v="1"/>
    <x v="9"/>
    <x v="6"/>
    <x v="8"/>
    <x v="0"/>
  </r>
  <r>
    <x v="4"/>
    <x v="0"/>
    <x v="44"/>
    <x v="2"/>
    <x v="22"/>
    <x v="13"/>
    <x v="54"/>
    <x v="14"/>
    <x v="2"/>
    <x v="1"/>
    <x v="9"/>
    <x v="2"/>
    <x v="0"/>
  </r>
  <r>
    <x v="3"/>
    <x v="0"/>
    <x v="10"/>
    <x v="0"/>
    <x v="46"/>
    <x v="22"/>
    <x v="176"/>
    <x v="6"/>
    <x v="0"/>
    <x v="5"/>
    <x v="2"/>
    <x v="3"/>
    <x v="0"/>
  </r>
  <r>
    <x v="0"/>
    <x v="1"/>
    <x v="10"/>
    <x v="1"/>
    <x v="31"/>
    <x v="6"/>
    <x v="17"/>
    <x v="18"/>
    <x v="1"/>
    <x v="3"/>
    <x v="2"/>
    <x v="1"/>
    <x v="0"/>
  </r>
  <r>
    <x v="4"/>
    <x v="0"/>
    <x v="29"/>
    <x v="1"/>
    <x v="33"/>
    <x v="17"/>
    <x v="8"/>
    <x v="6"/>
    <x v="0"/>
    <x v="5"/>
    <x v="2"/>
    <x v="9"/>
    <x v="0"/>
  </r>
  <r>
    <x v="4"/>
    <x v="1"/>
    <x v="58"/>
    <x v="2"/>
    <x v="17"/>
    <x v="19"/>
    <x v="18"/>
    <x v="0"/>
    <x v="2"/>
    <x v="7"/>
    <x v="0"/>
    <x v="5"/>
    <x v="0"/>
  </r>
  <r>
    <x v="5"/>
    <x v="0"/>
    <x v="4"/>
    <x v="0"/>
    <x v="36"/>
    <x v="23"/>
    <x v="152"/>
    <x v="11"/>
    <x v="1"/>
    <x v="2"/>
    <x v="9"/>
    <x v="6"/>
    <x v="0"/>
  </r>
  <r>
    <x v="4"/>
    <x v="1"/>
    <x v="57"/>
    <x v="2"/>
    <x v="31"/>
    <x v="12"/>
    <x v="179"/>
    <x v="4"/>
    <x v="0"/>
    <x v="0"/>
    <x v="3"/>
    <x v="6"/>
    <x v="0"/>
  </r>
  <r>
    <x v="0"/>
    <x v="1"/>
    <x v="21"/>
    <x v="1"/>
    <x v="23"/>
    <x v="22"/>
    <x v="56"/>
    <x v="0"/>
    <x v="2"/>
    <x v="6"/>
    <x v="8"/>
    <x v="5"/>
    <x v="0"/>
  </r>
  <r>
    <x v="0"/>
    <x v="1"/>
    <x v="15"/>
    <x v="0"/>
    <x v="3"/>
    <x v="13"/>
    <x v="150"/>
    <x v="9"/>
    <x v="2"/>
    <x v="3"/>
    <x v="2"/>
    <x v="2"/>
    <x v="0"/>
  </r>
  <r>
    <x v="4"/>
    <x v="0"/>
    <x v="36"/>
    <x v="1"/>
    <x v="40"/>
    <x v="11"/>
    <x v="190"/>
    <x v="19"/>
    <x v="1"/>
    <x v="6"/>
    <x v="3"/>
    <x v="6"/>
    <x v="0"/>
  </r>
  <r>
    <x v="6"/>
    <x v="0"/>
    <x v="47"/>
    <x v="0"/>
    <x v="5"/>
    <x v="11"/>
    <x v="3"/>
    <x v="10"/>
    <x v="2"/>
    <x v="3"/>
    <x v="1"/>
    <x v="1"/>
    <x v="0"/>
  </r>
  <r>
    <x v="3"/>
    <x v="1"/>
    <x v="23"/>
    <x v="0"/>
    <x v="10"/>
    <x v="18"/>
    <x v="113"/>
    <x v="6"/>
    <x v="0"/>
    <x v="0"/>
    <x v="8"/>
    <x v="5"/>
    <x v="0"/>
  </r>
  <r>
    <x v="6"/>
    <x v="1"/>
    <x v="64"/>
    <x v="0"/>
    <x v="47"/>
    <x v="23"/>
    <x v="191"/>
    <x v="15"/>
    <x v="2"/>
    <x v="7"/>
    <x v="3"/>
    <x v="2"/>
    <x v="0"/>
  </r>
  <r>
    <x v="2"/>
    <x v="1"/>
    <x v="16"/>
    <x v="2"/>
    <x v="47"/>
    <x v="12"/>
    <x v="84"/>
    <x v="14"/>
    <x v="1"/>
    <x v="3"/>
    <x v="9"/>
    <x v="0"/>
    <x v="0"/>
  </r>
  <r>
    <x v="2"/>
    <x v="1"/>
    <x v="67"/>
    <x v="2"/>
    <x v="11"/>
    <x v="1"/>
    <x v="19"/>
    <x v="9"/>
    <x v="2"/>
    <x v="7"/>
    <x v="2"/>
    <x v="7"/>
    <x v="0"/>
  </r>
  <r>
    <x v="2"/>
    <x v="1"/>
    <x v="43"/>
    <x v="1"/>
    <x v="16"/>
    <x v="11"/>
    <x v="139"/>
    <x v="16"/>
    <x v="2"/>
    <x v="8"/>
    <x v="9"/>
    <x v="4"/>
    <x v="0"/>
  </r>
  <r>
    <x v="5"/>
    <x v="1"/>
    <x v="31"/>
    <x v="1"/>
    <x v="13"/>
    <x v="17"/>
    <x v="36"/>
    <x v="6"/>
    <x v="1"/>
    <x v="2"/>
    <x v="9"/>
    <x v="4"/>
    <x v="0"/>
  </r>
  <r>
    <x v="1"/>
    <x v="1"/>
    <x v="66"/>
    <x v="0"/>
    <x v="13"/>
    <x v="6"/>
    <x v="154"/>
    <x v="4"/>
    <x v="1"/>
    <x v="7"/>
    <x v="7"/>
    <x v="6"/>
    <x v="0"/>
  </r>
  <r>
    <x v="6"/>
    <x v="0"/>
    <x v="67"/>
    <x v="2"/>
    <x v="9"/>
    <x v="19"/>
    <x v="192"/>
    <x v="13"/>
    <x v="0"/>
    <x v="6"/>
    <x v="2"/>
    <x v="1"/>
    <x v="0"/>
  </r>
  <r>
    <x v="1"/>
    <x v="0"/>
    <x v="12"/>
    <x v="0"/>
    <x v="30"/>
    <x v="21"/>
    <x v="78"/>
    <x v="7"/>
    <x v="0"/>
    <x v="3"/>
    <x v="3"/>
    <x v="5"/>
    <x v="0"/>
  </r>
  <r>
    <x v="3"/>
    <x v="0"/>
    <x v="20"/>
    <x v="2"/>
    <x v="23"/>
    <x v="13"/>
    <x v="110"/>
    <x v="3"/>
    <x v="1"/>
    <x v="7"/>
    <x v="2"/>
    <x v="2"/>
    <x v="0"/>
  </r>
  <r>
    <x v="0"/>
    <x v="0"/>
    <x v="15"/>
    <x v="1"/>
    <x v="28"/>
    <x v="6"/>
    <x v="84"/>
    <x v="4"/>
    <x v="2"/>
    <x v="6"/>
    <x v="7"/>
    <x v="8"/>
    <x v="0"/>
  </r>
  <r>
    <x v="5"/>
    <x v="0"/>
    <x v="65"/>
    <x v="1"/>
    <x v="4"/>
    <x v="11"/>
    <x v="193"/>
    <x v="8"/>
    <x v="2"/>
    <x v="7"/>
    <x v="2"/>
    <x v="8"/>
    <x v="0"/>
  </r>
  <r>
    <x v="1"/>
    <x v="1"/>
    <x v="16"/>
    <x v="0"/>
    <x v="23"/>
    <x v="17"/>
    <x v="125"/>
    <x v="3"/>
    <x v="1"/>
    <x v="9"/>
    <x v="8"/>
    <x v="7"/>
    <x v="0"/>
  </r>
  <r>
    <x v="6"/>
    <x v="1"/>
    <x v="53"/>
    <x v="0"/>
    <x v="0"/>
    <x v="25"/>
    <x v="140"/>
    <x v="8"/>
    <x v="0"/>
    <x v="7"/>
    <x v="1"/>
    <x v="6"/>
    <x v="0"/>
  </r>
  <r>
    <x v="4"/>
    <x v="1"/>
    <x v="56"/>
    <x v="2"/>
    <x v="18"/>
    <x v="16"/>
    <x v="178"/>
    <x v="5"/>
    <x v="0"/>
    <x v="3"/>
    <x v="4"/>
    <x v="4"/>
    <x v="0"/>
  </r>
  <r>
    <x v="2"/>
    <x v="1"/>
    <x v="49"/>
    <x v="1"/>
    <x v="26"/>
    <x v="13"/>
    <x v="122"/>
    <x v="8"/>
    <x v="0"/>
    <x v="2"/>
    <x v="3"/>
    <x v="7"/>
    <x v="0"/>
  </r>
  <r>
    <x v="4"/>
    <x v="1"/>
    <x v="13"/>
    <x v="0"/>
    <x v="44"/>
    <x v="16"/>
    <x v="133"/>
    <x v="12"/>
    <x v="2"/>
    <x v="2"/>
    <x v="5"/>
    <x v="2"/>
    <x v="0"/>
  </r>
  <r>
    <x v="4"/>
    <x v="0"/>
    <x v="27"/>
    <x v="2"/>
    <x v="2"/>
    <x v="19"/>
    <x v="75"/>
    <x v="12"/>
    <x v="0"/>
    <x v="6"/>
    <x v="9"/>
    <x v="9"/>
    <x v="0"/>
  </r>
  <r>
    <x v="2"/>
    <x v="0"/>
    <x v="65"/>
    <x v="2"/>
    <x v="26"/>
    <x v="16"/>
    <x v="41"/>
    <x v="10"/>
    <x v="0"/>
    <x v="8"/>
    <x v="1"/>
    <x v="9"/>
    <x v="0"/>
  </r>
  <r>
    <x v="2"/>
    <x v="0"/>
    <x v="11"/>
    <x v="0"/>
    <x v="10"/>
    <x v="11"/>
    <x v="72"/>
    <x v="7"/>
    <x v="0"/>
    <x v="3"/>
    <x v="7"/>
    <x v="4"/>
    <x v="0"/>
  </r>
  <r>
    <x v="0"/>
    <x v="0"/>
    <x v="55"/>
    <x v="2"/>
    <x v="40"/>
    <x v="1"/>
    <x v="177"/>
    <x v="19"/>
    <x v="2"/>
    <x v="5"/>
    <x v="0"/>
    <x v="2"/>
    <x v="0"/>
  </r>
  <r>
    <x v="5"/>
    <x v="0"/>
    <x v="56"/>
    <x v="0"/>
    <x v="27"/>
    <x v="9"/>
    <x v="42"/>
    <x v="8"/>
    <x v="2"/>
    <x v="3"/>
    <x v="0"/>
    <x v="6"/>
    <x v="0"/>
  </r>
  <r>
    <x v="3"/>
    <x v="1"/>
    <x v="50"/>
    <x v="0"/>
    <x v="25"/>
    <x v="19"/>
    <x v="112"/>
    <x v="5"/>
    <x v="0"/>
    <x v="1"/>
    <x v="2"/>
    <x v="7"/>
    <x v="0"/>
  </r>
  <r>
    <x v="4"/>
    <x v="0"/>
    <x v="1"/>
    <x v="0"/>
    <x v="21"/>
    <x v="22"/>
    <x v="56"/>
    <x v="13"/>
    <x v="2"/>
    <x v="1"/>
    <x v="1"/>
    <x v="7"/>
    <x v="0"/>
  </r>
  <r>
    <x v="6"/>
    <x v="1"/>
    <x v="35"/>
    <x v="0"/>
    <x v="16"/>
    <x v="6"/>
    <x v="188"/>
    <x v="17"/>
    <x v="2"/>
    <x v="9"/>
    <x v="9"/>
    <x v="2"/>
    <x v="0"/>
  </r>
  <r>
    <x v="3"/>
    <x v="1"/>
    <x v="34"/>
    <x v="0"/>
    <x v="27"/>
    <x v="16"/>
    <x v="68"/>
    <x v="8"/>
    <x v="2"/>
    <x v="8"/>
    <x v="5"/>
    <x v="6"/>
    <x v="0"/>
  </r>
  <r>
    <x v="6"/>
    <x v="1"/>
    <x v="54"/>
    <x v="1"/>
    <x v="8"/>
    <x v="7"/>
    <x v="63"/>
    <x v="17"/>
    <x v="1"/>
    <x v="6"/>
    <x v="7"/>
    <x v="2"/>
    <x v="0"/>
  </r>
  <r>
    <x v="6"/>
    <x v="1"/>
    <x v="13"/>
    <x v="1"/>
    <x v="30"/>
    <x v="21"/>
    <x v="126"/>
    <x v="9"/>
    <x v="2"/>
    <x v="6"/>
    <x v="2"/>
    <x v="4"/>
    <x v="0"/>
  </r>
  <r>
    <x v="1"/>
    <x v="0"/>
    <x v="33"/>
    <x v="1"/>
    <x v="3"/>
    <x v="22"/>
    <x v="141"/>
    <x v="18"/>
    <x v="1"/>
    <x v="4"/>
    <x v="2"/>
    <x v="7"/>
    <x v="0"/>
  </r>
  <r>
    <x v="6"/>
    <x v="0"/>
    <x v="26"/>
    <x v="2"/>
    <x v="3"/>
    <x v="12"/>
    <x v="187"/>
    <x v="0"/>
    <x v="0"/>
    <x v="0"/>
    <x v="8"/>
    <x v="9"/>
    <x v="0"/>
  </r>
  <r>
    <x v="5"/>
    <x v="1"/>
    <x v="66"/>
    <x v="1"/>
    <x v="20"/>
    <x v="12"/>
    <x v="17"/>
    <x v="14"/>
    <x v="1"/>
    <x v="9"/>
    <x v="7"/>
    <x v="7"/>
    <x v="0"/>
  </r>
  <r>
    <x v="0"/>
    <x v="0"/>
    <x v="46"/>
    <x v="0"/>
    <x v="37"/>
    <x v="13"/>
    <x v="137"/>
    <x v="14"/>
    <x v="0"/>
    <x v="5"/>
    <x v="3"/>
    <x v="9"/>
    <x v="0"/>
  </r>
  <r>
    <x v="5"/>
    <x v="0"/>
    <x v="26"/>
    <x v="2"/>
    <x v="11"/>
    <x v="11"/>
    <x v="185"/>
    <x v="10"/>
    <x v="0"/>
    <x v="4"/>
    <x v="1"/>
    <x v="5"/>
    <x v="0"/>
  </r>
  <r>
    <x v="0"/>
    <x v="0"/>
    <x v="64"/>
    <x v="2"/>
    <x v="37"/>
    <x v="9"/>
    <x v="168"/>
    <x v="7"/>
    <x v="1"/>
    <x v="6"/>
    <x v="6"/>
    <x v="0"/>
    <x v="0"/>
  </r>
  <r>
    <x v="4"/>
    <x v="1"/>
    <x v="49"/>
    <x v="1"/>
    <x v="36"/>
    <x v="17"/>
    <x v="177"/>
    <x v="12"/>
    <x v="1"/>
    <x v="1"/>
    <x v="6"/>
    <x v="7"/>
    <x v="0"/>
  </r>
  <r>
    <x v="3"/>
    <x v="1"/>
    <x v="12"/>
    <x v="0"/>
    <x v="15"/>
    <x v="24"/>
    <x v="16"/>
    <x v="4"/>
    <x v="2"/>
    <x v="5"/>
    <x v="7"/>
    <x v="4"/>
    <x v="0"/>
  </r>
  <r>
    <x v="6"/>
    <x v="1"/>
    <x v="14"/>
    <x v="2"/>
    <x v="47"/>
    <x v="20"/>
    <x v="154"/>
    <x v="8"/>
    <x v="2"/>
    <x v="5"/>
    <x v="3"/>
    <x v="0"/>
    <x v="0"/>
  </r>
  <r>
    <x v="3"/>
    <x v="1"/>
    <x v="42"/>
    <x v="1"/>
    <x v="49"/>
    <x v="4"/>
    <x v="155"/>
    <x v="9"/>
    <x v="1"/>
    <x v="0"/>
    <x v="2"/>
    <x v="3"/>
    <x v="0"/>
  </r>
  <r>
    <x v="0"/>
    <x v="0"/>
    <x v="4"/>
    <x v="1"/>
    <x v="47"/>
    <x v="0"/>
    <x v="144"/>
    <x v="5"/>
    <x v="1"/>
    <x v="5"/>
    <x v="6"/>
    <x v="4"/>
    <x v="0"/>
  </r>
  <r>
    <x v="3"/>
    <x v="1"/>
    <x v="26"/>
    <x v="2"/>
    <x v="33"/>
    <x v="10"/>
    <x v="115"/>
    <x v="6"/>
    <x v="0"/>
    <x v="4"/>
    <x v="9"/>
    <x v="0"/>
    <x v="0"/>
  </r>
  <r>
    <x v="6"/>
    <x v="1"/>
    <x v="61"/>
    <x v="2"/>
    <x v="6"/>
    <x v="17"/>
    <x v="110"/>
    <x v="13"/>
    <x v="0"/>
    <x v="4"/>
    <x v="1"/>
    <x v="3"/>
    <x v="0"/>
  </r>
  <r>
    <x v="2"/>
    <x v="1"/>
    <x v="27"/>
    <x v="1"/>
    <x v="23"/>
    <x v="13"/>
    <x v="26"/>
    <x v="14"/>
    <x v="1"/>
    <x v="1"/>
    <x v="7"/>
    <x v="3"/>
    <x v="0"/>
  </r>
  <r>
    <x v="2"/>
    <x v="1"/>
    <x v="20"/>
    <x v="2"/>
    <x v="16"/>
    <x v="13"/>
    <x v="173"/>
    <x v="16"/>
    <x v="0"/>
    <x v="7"/>
    <x v="8"/>
    <x v="7"/>
    <x v="0"/>
  </r>
  <r>
    <x v="1"/>
    <x v="0"/>
    <x v="8"/>
    <x v="1"/>
    <x v="45"/>
    <x v="0"/>
    <x v="160"/>
    <x v="11"/>
    <x v="2"/>
    <x v="2"/>
    <x v="5"/>
    <x v="3"/>
    <x v="0"/>
  </r>
  <r>
    <x v="3"/>
    <x v="0"/>
    <x v="21"/>
    <x v="2"/>
    <x v="12"/>
    <x v="17"/>
    <x v="93"/>
    <x v="13"/>
    <x v="2"/>
    <x v="6"/>
    <x v="1"/>
    <x v="6"/>
    <x v="0"/>
  </r>
  <r>
    <x v="2"/>
    <x v="1"/>
    <x v="32"/>
    <x v="2"/>
    <x v="22"/>
    <x v="9"/>
    <x v="50"/>
    <x v="8"/>
    <x v="0"/>
    <x v="3"/>
    <x v="5"/>
    <x v="8"/>
    <x v="0"/>
  </r>
  <r>
    <x v="5"/>
    <x v="1"/>
    <x v="14"/>
    <x v="0"/>
    <x v="1"/>
    <x v="24"/>
    <x v="177"/>
    <x v="4"/>
    <x v="2"/>
    <x v="6"/>
    <x v="3"/>
    <x v="5"/>
    <x v="0"/>
  </r>
  <r>
    <x v="4"/>
    <x v="1"/>
    <x v="67"/>
    <x v="0"/>
    <x v="35"/>
    <x v="13"/>
    <x v="147"/>
    <x v="18"/>
    <x v="0"/>
    <x v="2"/>
    <x v="8"/>
    <x v="2"/>
    <x v="0"/>
  </r>
  <r>
    <x v="6"/>
    <x v="1"/>
    <x v="69"/>
    <x v="2"/>
    <x v="18"/>
    <x v="2"/>
    <x v="181"/>
    <x v="10"/>
    <x v="1"/>
    <x v="7"/>
    <x v="1"/>
    <x v="8"/>
    <x v="0"/>
  </r>
  <r>
    <x v="1"/>
    <x v="0"/>
    <x v="56"/>
    <x v="1"/>
    <x v="42"/>
    <x v="7"/>
    <x v="98"/>
    <x v="11"/>
    <x v="0"/>
    <x v="8"/>
    <x v="7"/>
    <x v="9"/>
    <x v="0"/>
  </r>
  <r>
    <x v="3"/>
    <x v="1"/>
    <x v="34"/>
    <x v="2"/>
    <x v="44"/>
    <x v="15"/>
    <x v="191"/>
    <x v="10"/>
    <x v="1"/>
    <x v="2"/>
    <x v="6"/>
    <x v="4"/>
    <x v="0"/>
  </r>
  <r>
    <x v="6"/>
    <x v="0"/>
    <x v="40"/>
    <x v="2"/>
    <x v="9"/>
    <x v="24"/>
    <x v="74"/>
    <x v="6"/>
    <x v="2"/>
    <x v="7"/>
    <x v="9"/>
    <x v="0"/>
    <x v="0"/>
  </r>
  <r>
    <x v="0"/>
    <x v="0"/>
    <x v="37"/>
    <x v="0"/>
    <x v="31"/>
    <x v="8"/>
    <x v="35"/>
    <x v="0"/>
    <x v="2"/>
    <x v="9"/>
    <x v="4"/>
    <x v="2"/>
    <x v="0"/>
  </r>
  <r>
    <x v="6"/>
    <x v="1"/>
    <x v="8"/>
    <x v="2"/>
    <x v="7"/>
    <x v="7"/>
    <x v="49"/>
    <x v="16"/>
    <x v="0"/>
    <x v="7"/>
    <x v="7"/>
    <x v="9"/>
    <x v="1"/>
  </r>
  <r>
    <x v="2"/>
    <x v="1"/>
    <x v="36"/>
    <x v="2"/>
    <x v="40"/>
    <x v="12"/>
    <x v="37"/>
    <x v="10"/>
    <x v="0"/>
    <x v="5"/>
    <x v="8"/>
    <x v="9"/>
    <x v="0"/>
  </r>
  <r>
    <x v="2"/>
    <x v="0"/>
    <x v="10"/>
    <x v="0"/>
    <x v="0"/>
    <x v="11"/>
    <x v="193"/>
    <x v="0"/>
    <x v="0"/>
    <x v="6"/>
    <x v="3"/>
    <x v="3"/>
    <x v="0"/>
  </r>
  <r>
    <x v="4"/>
    <x v="1"/>
    <x v="43"/>
    <x v="2"/>
    <x v="4"/>
    <x v="8"/>
    <x v="34"/>
    <x v="6"/>
    <x v="1"/>
    <x v="8"/>
    <x v="3"/>
    <x v="8"/>
    <x v="0"/>
  </r>
  <r>
    <x v="1"/>
    <x v="0"/>
    <x v="33"/>
    <x v="0"/>
    <x v="39"/>
    <x v="18"/>
    <x v="89"/>
    <x v="6"/>
    <x v="2"/>
    <x v="7"/>
    <x v="6"/>
    <x v="1"/>
    <x v="1"/>
  </r>
  <r>
    <x v="3"/>
    <x v="1"/>
    <x v="27"/>
    <x v="0"/>
    <x v="2"/>
    <x v="20"/>
    <x v="120"/>
    <x v="3"/>
    <x v="1"/>
    <x v="2"/>
    <x v="2"/>
    <x v="9"/>
    <x v="0"/>
  </r>
  <r>
    <x v="6"/>
    <x v="1"/>
    <x v="21"/>
    <x v="1"/>
    <x v="19"/>
    <x v="15"/>
    <x v="112"/>
    <x v="0"/>
    <x v="1"/>
    <x v="8"/>
    <x v="7"/>
    <x v="0"/>
    <x v="0"/>
  </r>
  <r>
    <x v="3"/>
    <x v="1"/>
    <x v="33"/>
    <x v="1"/>
    <x v="21"/>
    <x v="6"/>
    <x v="66"/>
    <x v="15"/>
    <x v="0"/>
    <x v="9"/>
    <x v="7"/>
    <x v="6"/>
    <x v="1"/>
  </r>
  <r>
    <x v="6"/>
    <x v="1"/>
    <x v="35"/>
    <x v="2"/>
    <x v="19"/>
    <x v="12"/>
    <x v="12"/>
    <x v="6"/>
    <x v="1"/>
    <x v="8"/>
    <x v="2"/>
    <x v="5"/>
    <x v="0"/>
  </r>
  <r>
    <x v="5"/>
    <x v="1"/>
    <x v="35"/>
    <x v="2"/>
    <x v="7"/>
    <x v="6"/>
    <x v="185"/>
    <x v="14"/>
    <x v="2"/>
    <x v="2"/>
    <x v="3"/>
    <x v="2"/>
    <x v="0"/>
  </r>
  <r>
    <x v="1"/>
    <x v="0"/>
    <x v="51"/>
    <x v="0"/>
    <x v="7"/>
    <x v="8"/>
    <x v="150"/>
    <x v="17"/>
    <x v="0"/>
    <x v="1"/>
    <x v="7"/>
    <x v="6"/>
    <x v="1"/>
  </r>
  <r>
    <x v="4"/>
    <x v="1"/>
    <x v="23"/>
    <x v="2"/>
    <x v="26"/>
    <x v="21"/>
    <x v="57"/>
    <x v="13"/>
    <x v="0"/>
    <x v="0"/>
    <x v="4"/>
    <x v="7"/>
    <x v="0"/>
  </r>
  <r>
    <x v="6"/>
    <x v="1"/>
    <x v="49"/>
    <x v="1"/>
    <x v="34"/>
    <x v="23"/>
    <x v="144"/>
    <x v="3"/>
    <x v="1"/>
    <x v="0"/>
    <x v="9"/>
    <x v="1"/>
    <x v="0"/>
  </r>
  <r>
    <x v="5"/>
    <x v="0"/>
    <x v="23"/>
    <x v="0"/>
    <x v="47"/>
    <x v="4"/>
    <x v="171"/>
    <x v="13"/>
    <x v="0"/>
    <x v="7"/>
    <x v="8"/>
    <x v="8"/>
    <x v="0"/>
  </r>
  <r>
    <x v="3"/>
    <x v="0"/>
    <x v="4"/>
    <x v="0"/>
    <x v="38"/>
    <x v="13"/>
    <x v="62"/>
    <x v="19"/>
    <x v="1"/>
    <x v="6"/>
    <x v="5"/>
    <x v="8"/>
    <x v="0"/>
  </r>
  <r>
    <x v="2"/>
    <x v="1"/>
    <x v="42"/>
    <x v="1"/>
    <x v="15"/>
    <x v="4"/>
    <x v="8"/>
    <x v="8"/>
    <x v="2"/>
    <x v="8"/>
    <x v="2"/>
    <x v="3"/>
    <x v="0"/>
  </r>
  <r>
    <x v="4"/>
    <x v="0"/>
    <x v="62"/>
    <x v="0"/>
    <x v="5"/>
    <x v="23"/>
    <x v="141"/>
    <x v="17"/>
    <x v="1"/>
    <x v="2"/>
    <x v="8"/>
    <x v="8"/>
    <x v="0"/>
  </r>
  <r>
    <x v="1"/>
    <x v="0"/>
    <x v="26"/>
    <x v="0"/>
    <x v="32"/>
    <x v="18"/>
    <x v="84"/>
    <x v="9"/>
    <x v="1"/>
    <x v="9"/>
    <x v="4"/>
    <x v="4"/>
    <x v="0"/>
  </r>
  <r>
    <x v="5"/>
    <x v="0"/>
    <x v="0"/>
    <x v="1"/>
    <x v="1"/>
    <x v="2"/>
    <x v="73"/>
    <x v="0"/>
    <x v="1"/>
    <x v="3"/>
    <x v="4"/>
    <x v="8"/>
    <x v="0"/>
  </r>
  <r>
    <x v="5"/>
    <x v="1"/>
    <x v="3"/>
    <x v="1"/>
    <x v="24"/>
    <x v="20"/>
    <x v="145"/>
    <x v="11"/>
    <x v="1"/>
    <x v="9"/>
    <x v="7"/>
    <x v="3"/>
    <x v="1"/>
  </r>
  <r>
    <x v="2"/>
    <x v="1"/>
    <x v="21"/>
    <x v="0"/>
    <x v="4"/>
    <x v="25"/>
    <x v="166"/>
    <x v="11"/>
    <x v="2"/>
    <x v="3"/>
    <x v="3"/>
    <x v="4"/>
    <x v="0"/>
  </r>
  <r>
    <x v="6"/>
    <x v="0"/>
    <x v="38"/>
    <x v="2"/>
    <x v="12"/>
    <x v="5"/>
    <x v="136"/>
    <x v="10"/>
    <x v="0"/>
    <x v="2"/>
    <x v="1"/>
    <x v="9"/>
    <x v="0"/>
  </r>
  <r>
    <x v="5"/>
    <x v="0"/>
    <x v="42"/>
    <x v="0"/>
    <x v="16"/>
    <x v="9"/>
    <x v="122"/>
    <x v="19"/>
    <x v="2"/>
    <x v="9"/>
    <x v="7"/>
    <x v="6"/>
    <x v="0"/>
  </r>
  <r>
    <x v="5"/>
    <x v="1"/>
    <x v="46"/>
    <x v="1"/>
    <x v="47"/>
    <x v="19"/>
    <x v="84"/>
    <x v="4"/>
    <x v="2"/>
    <x v="9"/>
    <x v="9"/>
    <x v="1"/>
    <x v="0"/>
  </r>
  <r>
    <x v="5"/>
    <x v="1"/>
    <x v="33"/>
    <x v="1"/>
    <x v="46"/>
    <x v="5"/>
    <x v="27"/>
    <x v="10"/>
    <x v="2"/>
    <x v="8"/>
    <x v="5"/>
    <x v="1"/>
    <x v="0"/>
  </r>
  <r>
    <x v="2"/>
    <x v="0"/>
    <x v="34"/>
    <x v="2"/>
    <x v="4"/>
    <x v="1"/>
    <x v="189"/>
    <x v="9"/>
    <x v="2"/>
    <x v="5"/>
    <x v="9"/>
    <x v="0"/>
    <x v="0"/>
  </r>
  <r>
    <x v="0"/>
    <x v="0"/>
    <x v="13"/>
    <x v="1"/>
    <x v="25"/>
    <x v="12"/>
    <x v="26"/>
    <x v="12"/>
    <x v="2"/>
    <x v="2"/>
    <x v="4"/>
    <x v="2"/>
    <x v="0"/>
  </r>
  <r>
    <x v="1"/>
    <x v="0"/>
    <x v="8"/>
    <x v="0"/>
    <x v="8"/>
    <x v="21"/>
    <x v="114"/>
    <x v="5"/>
    <x v="1"/>
    <x v="4"/>
    <x v="7"/>
    <x v="2"/>
    <x v="0"/>
  </r>
  <r>
    <x v="2"/>
    <x v="0"/>
    <x v="31"/>
    <x v="1"/>
    <x v="26"/>
    <x v="22"/>
    <x v="79"/>
    <x v="6"/>
    <x v="0"/>
    <x v="8"/>
    <x v="5"/>
    <x v="5"/>
    <x v="0"/>
  </r>
  <r>
    <x v="3"/>
    <x v="0"/>
    <x v="38"/>
    <x v="2"/>
    <x v="35"/>
    <x v="24"/>
    <x v="75"/>
    <x v="18"/>
    <x v="2"/>
    <x v="6"/>
    <x v="3"/>
    <x v="0"/>
    <x v="0"/>
  </r>
  <r>
    <x v="4"/>
    <x v="0"/>
    <x v="17"/>
    <x v="2"/>
    <x v="29"/>
    <x v="9"/>
    <x v="152"/>
    <x v="16"/>
    <x v="0"/>
    <x v="2"/>
    <x v="9"/>
    <x v="8"/>
    <x v="0"/>
  </r>
  <r>
    <x v="1"/>
    <x v="0"/>
    <x v="24"/>
    <x v="1"/>
    <x v="28"/>
    <x v="16"/>
    <x v="105"/>
    <x v="11"/>
    <x v="1"/>
    <x v="7"/>
    <x v="5"/>
    <x v="8"/>
    <x v="0"/>
  </r>
  <r>
    <x v="1"/>
    <x v="1"/>
    <x v="52"/>
    <x v="1"/>
    <x v="6"/>
    <x v="9"/>
    <x v="65"/>
    <x v="9"/>
    <x v="0"/>
    <x v="1"/>
    <x v="7"/>
    <x v="7"/>
    <x v="0"/>
  </r>
  <r>
    <x v="5"/>
    <x v="0"/>
    <x v="23"/>
    <x v="1"/>
    <x v="5"/>
    <x v="24"/>
    <x v="170"/>
    <x v="1"/>
    <x v="2"/>
    <x v="2"/>
    <x v="2"/>
    <x v="1"/>
    <x v="0"/>
  </r>
  <r>
    <x v="6"/>
    <x v="0"/>
    <x v="5"/>
    <x v="0"/>
    <x v="14"/>
    <x v="10"/>
    <x v="95"/>
    <x v="14"/>
    <x v="1"/>
    <x v="3"/>
    <x v="4"/>
    <x v="9"/>
    <x v="0"/>
  </r>
  <r>
    <x v="1"/>
    <x v="0"/>
    <x v="56"/>
    <x v="0"/>
    <x v="28"/>
    <x v="22"/>
    <x v="40"/>
    <x v="9"/>
    <x v="1"/>
    <x v="5"/>
    <x v="4"/>
    <x v="9"/>
    <x v="0"/>
  </r>
  <r>
    <x v="5"/>
    <x v="1"/>
    <x v="38"/>
    <x v="1"/>
    <x v="28"/>
    <x v="20"/>
    <x v="87"/>
    <x v="1"/>
    <x v="0"/>
    <x v="4"/>
    <x v="5"/>
    <x v="7"/>
    <x v="0"/>
  </r>
  <r>
    <x v="1"/>
    <x v="1"/>
    <x v="11"/>
    <x v="2"/>
    <x v="5"/>
    <x v="5"/>
    <x v="20"/>
    <x v="14"/>
    <x v="1"/>
    <x v="3"/>
    <x v="0"/>
    <x v="7"/>
    <x v="0"/>
  </r>
  <r>
    <x v="6"/>
    <x v="0"/>
    <x v="33"/>
    <x v="2"/>
    <x v="44"/>
    <x v="10"/>
    <x v="67"/>
    <x v="20"/>
    <x v="0"/>
    <x v="1"/>
    <x v="9"/>
    <x v="1"/>
    <x v="0"/>
  </r>
  <r>
    <x v="1"/>
    <x v="0"/>
    <x v="59"/>
    <x v="1"/>
    <x v="34"/>
    <x v="22"/>
    <x v="25"/>
    <x v="10"/>
    <x v="1"/>
    <x v="8"/>
    <x v="5"/>
    <x v="9"/>
    <x v="1"/>
  </r>
  <r>
    <x v="1"/>
    <x v="0"/>
    <x v="11"/>
    <x v="1"/>
    <x v="38"/>
    <x v="19"/>
    <x v="134"/>
    <x v="0"/>
    <x v="0"/>
    <x v="9"/>
    <x v="0"/>
    <x v="2"/>
    <x v="0"/>
  </r>
  <r>
    <x v="5"/>
    <x v="1"/>
    <x v="55"/>
    <x v="1"/>
    <x v="14"/>
    <x v="6"/>
    <x v="7"/>
    <x v="0"/>
    <x v="1"/>
    <x v="5"/>
    <x v="5"/>
    <x v="5"/>
    <x v="0"/>
  </r>
  <r>
    <x v="0"/>
    <x v="0"/>
    <x v="36"/>
    <x v="0"/>
    <x v="11"/>
    <x v="19"/>
    <x v="32"/>
    <x v="0"/>
    <x v="2"/>
    <x v="8"/>
    <x v="5"/>
    <x v="6"/>
    <x v="0"/>
  </r>
  <r>
    <x v="5"/>
    <x v="0"/>
    <x v="13"/>
    <x v="0"/>
    <x v="45"/>
    <x v="24"/>
    <x v="190"/>
    <x v="13"/>
    <x v="0"/>
    <x v="6"/>
    <x v="1"/>
    <x v="7"/>
    <x v="0"/>
  </r>
  <r>
    <x v="6"/>
    <x v="0"/>
    <x v="6"/>
    <x v="2"/>
    <x v="49"/>
    <x v="11"/>
    <x v="65"/>
    <x v="15"/>
    <x v="0"/>
    <x v="0"/>
    <x v="8"/>
    <x v="0"/>
    <x v="0"/>
  </r>
  <r>
    <x v="2"/>
    <x v="1"/>
    <x v="41"/>
    <x v="2"/>
    <x v="10"/>
    <x v="5"/>
    <x v="63"/>
    <x v="15"/>
    <x v="1"/>
    <x v="3"/>
    <x v="7"/>
    <x v="0"/>
    <x v="0"/>
  </r>
  <r>
    <x v="5"/>
    <x v="1"/>
    <x v="54"/>
    <x v="2"/>
    <x v="19"/>
    <x v="6"/>
    <x v="191"/>
    <x v="15"/>
    <x v="2"/>
    <x v="0"/>
    <x v="4"/>
    <x v="6"/>
    <x v="0"/>
  </r>
  <r>
    <x v="5"/>
    <x v="1"/>
    <x v="13"/>
    <x v="0"/>
    <x v="15"/>
    <x v="17"/>
    <x v="164"/>
    <x v="15"/>
    <x v="1"/>
    <x v="0"/>
    <x v="1"/>
    <x v="4"/>
    <x v="0"/>
  </r>
  <r>
    <x v="1"/>
    <x v="0"/>
    <x v="4"/>
    <x v="2"/>
    <x v="36"/>
    <x v="15"/>
    <x v="59"/>
    <x v="9"/>
    <x v="1"/>
    <x v="5"/>
    <x v="7"/>
    <x v="3"/>
    <x v="0"/>
  </r>
  <r>
    <x v="6"/>
    <x v="0"/>
    <x v="23"/>
    <x v="0"/>
    <x v="45"/>
    <x v="16"/>
    <x v="155"/>
    <x v="0"/>
    <x v="1"/>
    <x v="5"/>
    <x v="7"/>
    <x v="6"/>
    <x v="0"/>
  </r>
  <r>
    <x v="6"/>
    <x v="0"/>
    <x v="53"/>
    <x v="1"/>
    <x v="11"/>
    <x v="18"/>
    <x v="131"/>
    <x v="1"/>
    <x v="1"/>
    <x v="8"/>
    <x v="0"/>
    <x v="6"/>
    <x v="0"/>
  </r>
  <r>
    <x v="1"/>
    <x v="0"/>
    <x v="62"/>
    <x v="1"/>
    <x v="0"/>
    <x v="24"/>
    <x v="30"/>
    <x v="10"/>
    <x v="1"/>
    <x v="2"/>
    <x v="7"/>
    <x v="3"/>
    <x v="0"/>
  </r>
  <r>
    <x v="1"/>
    <x v="0"/>
    <x v="51"/>
    <x v="1"/>
    <x v="38"/>
    <x v="17"/>
    <x v="45"/>
    <x v="18"/>
    <x v="2"/>
    <x v="9"/>
    <x v="8"/>
    <x v="8"/>
    <x v="0"/>
  </r>
  <r>
    <x v="6"/>
    <x v="0"/>
    <x v="67"/>
    <x v="1"/>
    <x v="44"/>
    <x v="15"/>
    <x v="179"/>
    <x v="1"/>
    <x v="2"/>
    <x v="7"/>
    <x v="9"/>
    <x v="6"/>
    <x v="0"/>
  </r>
  <r>
    <x v="4"/>
    <x v="1"/>
    <x v="51"/>
    <x v="1"/>
    <x v="2"/>
    <x v="0"/>
    <x v="36"/>
    <x v="12"/>
    <x v="1"/>
    <x v="7"/>
    <x v="9"/>
    <x v="8"/>
    <x v="0"/>
  </r>
  <r>
    <x v="4"/>
    <x v="0"/>
    <x v="50"/>
    <x v="0"/>
    <x v="41"/>
    <x v="6"/>
    <x v="86"/>
    <x v="0"/>
    <x v="1"/>
    <x v="8"/>
    <x v="3"/>
    <x v="1"/>
    <x v="0"/>
  </r>
  <r>
    <x v="5"/>
    <x v="0"/>
    <x v="23"/>
    <x v="1"/>
    <x v="22"/>
    <x v="1"/>
    <x v="171"/>
    <x v="3"/>
    <x v="1"/>
    <x v="7"/>
    <x v="0"/>
    <x v="6"/>
    <x v="0"/>
  </r>
  <r>
    <x v="3"/>
    <x v="1"/>
    <x v="10"/>
    <x v="2"/>
    <x v="42"/>
    <x v="14"/>
    <x v="75"/>
    <x v="3"/>
    <x v="0"/>
    <x v="5"/>
    <x v="0"/>
    <x v="4"/>
    <x v="0"/>
  </r>
  <r>
    <x v="1"/>
    <x v="1"/>
    <x v="22"/>
    <x v="0"/>
    <x v="19"/>
    <x v="2"/>
    <x v="6"/>
    <x v="15"/>
    <x v="2"/>
    <x v="0"/>
    <x v="7"/>
    <x v="4"/>
    <x v="0"/>
  </r>
  <r>
    <x v="3"/>
    <x v="0"/>
    <x v="18"/>
    <x v="2"/>
    <x v="1"/>
    <x v="14"/>
    <x v="29"/>
    <x v="19"/>
    <x v="1"/>
    <x v="6"/>
    <x v="3"/>
    <x v="8"/>
    <x v="0"/>
  </r>
  <r>
    <x v="1"/>
    <x v="0"/>
    <x v="54"/>
    <x v="0"/>
    <x v="7"/>
    <x v="16"/>
    <x v="103"/>
    <x v="1"/>
    <x v="2"/>
    <x v="9"/>
    <x v="7"/>
    <x v="3"/>
    <x v="1"/>
  </r>
  <r>
    <x v="5"/>
    <x v="1"/>
    <x v="20"/>
    <x v="2"/>
    <x v="21"/>
    <x v="7"/>
    <x v="60"/>
    <x v="6"/>
    <x v="2"/>
    <x v="9"/>
    <x v="5"/>
    <x v="6"/>
    <x v="1"/>
  </r>
  <r>
    <x v="2"/>
    <x v="1"/>
    <x v="69"/>
    <x v="0"/>
    <x v="32"/>
    <x v="10"/>
    <x v="14"/>
    <x v="16"/>
    <x v="1"/>
    <x v="4"/>
    <x v="6"/>
    <x v="4"/>
    <x v="0"/>
  </r>
  <r>
    <x v="2"/>
    <x v="0"/>
    <x v="13"/>
    <x v="2"/>
    <x v="15"/>
    <x v="17"/>
    <x v="67"/>
    <x v="4"/>
    <x v="0"/>
    <x v="4"/>
    <x v="6"/>
    <x v="5"/>
    <x v="0"/>
  </r>
  <r>
    <x v="2"/>
    <x v="1"/>
    <x v="68"/>
    <x v="0"/>
    <x v="32"/>
    <x v="18"/>
    <x v="109"/>
    <x v="8"/>
    <x v="2"/>
    <x v="0"/>
    <x v="8"/>
    <x v="3"/>
    <x v="0"/>
  </r>
  <r>
    <x v="5"/>
    <x v="1"/>
    <x v="3"/>
    <x v="0"/>
    <x v="0"/>
    <x v="16"/>
    <x v="76"/>
    <x v="6"/>
    <x v="2"/>
    <x v="7"/>
    <x v="8"/>
    <x v="2"/>
    <x v="0"/>
  </r>
  <r>
    <x v="6"/>
    <x v="0"/>
    <x v="20"/>
    <x v="0"/>
    <x v="41"/>
    <x v="14"/>
    <x v="162"/>
    <x v="5"/>
    <x v="1"/>
    <x v="3"/>
    <x v="6"/>
    <x v="5"/>
    <x v="0"/>
  </r>
  <r>
    <x v="4"/>
    <x v="1"/>
    <x v="29"/>
    <x v="0"/>
    <x v="24"/>
    <x v="20"/>
    <x v="194"/>
    <x v="4"/>
    <x v="0"/>
    <x v="4"/>
    <x v="0"/>
    <x v="5"/>
    <x v="0"/>
  </r>
  <r>
    <x v="6"/>
    <x v="0"/>
    <x v="18"/>
    <x v="1"/>
    <x v="34"/>
    <x v="1"/>
    <x v="65"/>
    <x v="19"/>
    <x v="2"/>
    <x v="2"/>
    <x v="5"/>
    <x v="0"/>
    <x v="0"/>
  </r>
  <r>
    <x v="2"/>
    <x v="1"/>
    <x v="59"/>
    <x v="1"/>
    <x v="48"/>
    <x v="11"/>
    <x v="129"/>
    <x v="18"/>
    <x v="2"/>
    <x v="8"/>
    <x v="0"/>
    <x v="6"/>
    <x v="0"/>
  </r>
  <r>
    <x v="3"/>
    <x v="0"/>
    <x v="45"/>
    <x v="0"/>
    <x v="11"/>
    <x v="15"/>
    <x v="81"/>
    <x v="6"/>
    <x v="1"/>
    <x v="9"/>
    <x v="6"/>
    <x v="0"/>
    <x v="0"/>
  </r>
  <r>
    <x v="2"/>
    <x v="0"/>
    <x v="20"/>
    <x v="0"/>
    <x v="6"/>
    <x v="0"/>
    <x v="156"/>
    <x v="8"/>
    <x v="0"/>
    <x v="3"/>
    <x v="6"/>
    <x v="9"/>
    <x v="0"/>
  </r>
  <r>
    <x v="0"/>
    <x v="0"/>
    <x v="47"/>
    <x v="2"/>
    <x v="31"/>
    <x v="23"/>
    <x v="73"/>
    <x v="18"/>
    <x v="0"/>
    <x v="1"/>
    <x v="2"/>
    <x v="8"/>
    <x v="0"/>
  </r>
  <r>
    <x v="3"/>
    <x v="0"/>
    <x v="34"/>
    <x v="1"/>
    <x v="50"/>
    <x v="17"/>
    <x v="160"/>
    <x v="15"/>
    <x v="1"/>
    <x v="0"/>
    <x v="9"/>
    <x v="5"/>
    <x v="0"/>
  </r>
  <r>
    <x v="2"/>
    <x v="1"/>
    <x v="45"/>
    <x v="1"/>
    <x v="20"/>
    <x v="7"/>
    <x v="170"/>
    <x v="16"/>
    <x v="0"/>
    <x v="3"/>
    <x v="4"/>
    <x v="4"/>
    <x v="0"/>
  </r>
  <r>
    <x v="6"/>
    <x v="0"/>
    <x v="13"/>
    <x v="0"/>
    <x v="26"/>
    <x v="24"/>
    <x v="156"/>
    <x v="18"/>
    <x v="2"/>
    <x v="0"/>
    <x v="8"/>
    <x v="7"/>
    <x v="0"/>
  </r>
  <r>
    <x v="0"/>
    <x v="1"/>
    <x v="12"/>
    <x v="0"/>
    <x v="48"/>
    <x v="24"/>
    <x v="96"/>
    <x v="6"/>
    <x v="1"/>
    <x v="7"/>
    <x v="2"/>
    <x v="9"/>
    <x v="0"/>
  </r>
  <r>
    <x v="3"/>
    <x v="1"/>
    <x v="69"/>
    <x v="2"/>
    <x v="23"/>
    <x v="7"/>
    <x v="129"/>
    <x v="12"/>
    <x v="0"/>
    <x v="6"/>
    <x v="9"/>
    <x v="8"/>
    <x v="0"/>
  </r>
  <r>
    <x v="0"/>
    <x v="1"/>
    <x v="20"/>
    <x v="2"/>
    <x v="10"/>
    <x v="9"/>
    <x v="119"/>
    <x v="17"/>
    <x v="1"/>
    <x v="7"/>
    <x v="6"/>
    <x v="1"/>
    <x v="1"/>
  </r>
  <r>
    <x v="3"/>
    <x v="0"/>
    <x v="26"/>
    <x v="0"/>
    <x v="44"/>
    <x v="2"/>
    <x v="172"/>
    <x v="11"/>
    <x v="1"/>
    <x v="0"/>
    <x v="8"/>
    <x v="7"/>
    <x v="0"/>
  </r>
  <r>
    <x v="0"/>
    <x v="0"/>
    <x v="31"/>
    <x v="0"/>
    <x v="21"/>
    <x v="10"/>
    <x v="94"/>
    <x v="13"/>
    <x v="2"/>
    <x v="5"/>
    <x v="1"/>
    <x v="9"/>
    <x v="0"/>
  </r>
  <r>
    <x v="5"/>
    <x v="0"/>
    <x v="27"/>
    <x v="1"/>
    <x v="32"/>
    <x v="3"/>
    <x v="82"/>
    <x v="16"/>
    <x v="2"/>
    <x v="5"/>
    <x v="5"/>
    <x v="9"/>
    <x v="0"/>
  </r>
  <r>
    <x v="6"/>
    <x v="1"/>
    <x v="5"/>
    <x v="0"/>
    <x v="17"/>
    <x v="2"/>
    <x v="1"/>
    <x v="7"/>
    <x v="2"/>
    <x v="4"/>
    <x v="2"/>
    <x v="9"/>
    <x v="0"/>
  </r>
  <r>
    <x v="4"/>
    <x v="0"/>
    <x v="67"/>
    <x v="2"/>
    <x v="34"/>
    <x v="19"/>
    <x v="163"/>
    <x v="1"/>
    <x v="1"/>
    <x v="2"/>
    <x v="3"/>
    <x v="8"/>
    <x v="0"/>
  </r>
  <r>
    <x v="5"/>
    <x v="0"/>
    <x v="19"/>
    <x v="2"/>
    <x v="24"/>
    <x v="13"/>
    <x v="49"/>
    <x v="0"/>
    <x v="0"/>
    <x v="5"/>
    <x v="3"/>
    <x v="3"/>
    <x v="0"/>
  </r>
  <r>
    <x v="5"/>
    <x v="1"/>
    <x v="66"/>
    <x v="1"/>
    <x v="0"/>
    <x v="19"/>
    <x v="72"/>
    <x v="16"/>
    <x v="0"/>
    <x v="6"/>
    <x v="1"/>
    <x v="0"/>
    <x v="0"/>
  </r>
  <r>
    <x v="2"/>
    <x v="1"/>
    <x v="43"/>
    <x v="1"/>
    <x v="36"/>
    <x v="23"/>
    <x v="33"/>
    <x v="18"/>
    <x v="1"/>
    <x v="0"/>
    <x v="2"/>
    <x v="0"/>
    <x v="0"/>
  </r>
  <r>
    <x v="6"/>
    <x v="0"/>
    <x v="59"/>
    <x v="2"/>
    <x v="12"/>
    <x v="2"/>
    <x v="133"/>
    <x v="9"/>
    <x v="2"/>
    <x v="9"/>
    <x v="1"/>
    <x v="1"/>
    <x v="0"/>
  </r>
  <r>
    <x v="4"/>
    <x v="0"/>
    <x v="44"/>
    <x v="1"/>
    <x v="47"/>
    <x v="22"/>
    <x v="34"/>
    <x v="15"/>
    <x v="1"/>
    <x v="5"/>
    <x v="1"/>
    <x v="8"/>
    <x v="0"/>
  </r>
  <r>
    <x v="6"/>
    <x v="1"/>
    <x v="44"/>
    <x v="1"/>
    <x v="15"/>
    <x v="12"/>
    <x v="15"/>
    <x v="14"/>
    <x v="1"/>
    <x v="9"/>
    <x v="4"/>
    <x v="1"/>
    <x v="0"/>
  </r>
  <r>
    <x v="0"/>
    <x v="0"/>
    <x v="18"/>
    <x v="0"/>
    <x v="17"/>
    <x v="19"/>
    <x v="42"/>
    <x v="13"/>
    <x v="1"/>
    <x v="9"/>
    <x v="5"/>
    <x v="8"/>
    <x v="0"/>
  </r>
  <r>
    <x v="0"/>
    <x v="0"/>
    <x v="0"/>
    <x v="0"/>
    <x v="12"/>
    <x v="2"/>
    <x v="129"/>
    <x v="4"/>
    <x v="2"/>
    <x v="6"/>
    <x v="9"/>
    <x v="6"/>
    <x v="0"/>
  </r>
  <r>
    <x v="6"/>
    <x v="0"/>
    <x v="49"/>
    <x v="1"/>
    <x v="14"/>
    <x v="8"/>
    <x v="70"/>
    <x v="9"/>
    <x v="2"/>
    <x v="0"/>
    <x v="8"/>
    <x v="1"/>
    <x v="0"/>
  </r>
  <r>
    <x v="6"/>
    <x v="1"/>
    <x v="66"/>
    <x v="2"/>
    <x v="6"/>
    <x v="12"/>
    <x v="19"/>
    <x v="3"/>
    <x v="2"/>
    <x v="6"/>
    <x v="6"/>
    <x v="1"/>
    <x v="0"/>
  </r>
  <r>
    <x v="1"/>
    <x v="1"/>
    <x v="18"/>
    <x v="1"/>
    <x v="39"/>
    <x v="24"/>
    <x v="96"/>
    <x v="5"/>
    <x v="1"/>
    <x v="3"/>
    <x v="1"/>
    <x v="6"/>
    <x v="0"/>
  </r>
  <r>
    <x v="4"/>
    <x v="0"/>
    <x v="30"/>
    <x v="2"/>
    <x v="3"/>
    <x v="14"/>
    <x v="1"/>
    <x v="1"/>
    <x v="2"/>
    <x v="6"/>
    <x v="8"/>
    <x v="0"/>
    <x v="0"/>
  </r>
  <r>
    <x v="2"/>
    <x v="1"/>
    <x v="43"/>
    <x v="1"/>
    <x v="17"/>
    <x v="7"/>
    <x v="165"/>
    <x v="11"/>
    <x v="1"/>
    <x v="7"/>
    <x v="8"/>
    <x v="2"/>
    <x v="0"/>
  </r>
  <r>
    <x v="1"/>
    <x v="0"/>
    <x v="55"/>
    <x v="0"/>
    <x v="20"/>
    <x v="7"/>
    <x v="36"/>
    <x v="7"/>
    <x v="0"/>
    <x v="4"/>
    <x v="7"/>
    <x v="6"/>
    <x v="0"/>
  </r>
  <r>
    <x v="6"/>
    <x v="0"/>
    <x v="56"/>
    <x v="0"/>
    <x v="29"/>
    <x v="2"/>
    <x v="168"/>
    <x v="17"/>
    <x v="1"/>
    <x v="7"/>
    <x v="7"/>
    <x v="8"/>
    <x v="0"/>
  </r>
  <r>
    <x v="2"/>
    <x v="1"/>
    <x v="10"/>
    <x v="2"/>
    <x v="15"/>
    <x v="4"/>
    <x v="28"/>
    <x v="17"/>
    <x v="1"/>
    <x v="3"/>
    <x v="8"/>
    <x v="7"/>
    <x v="0"/>
  </r>
  <r>
    <x v="1"/>
    <x v="0"/>
    <x v="11"/>
    <x v="0"/>
    <x v="38"/>
    <x v="5"/>
    <x v="54"/>
    <x v="20"/>
    <x v="2"/>
    <x v="6"/>
    <x v="5"/>
    <x v="0"/>
    <x v="0"/>
  </r>
  <r>
    <x v="0"/>
    <x v="0"/>
    <x v="33"/>
    <x v="0"/>
    <x v="24"/>
    <x v="2"/>
    <x v="16"/>
    <x v="12"/>
    <x v="2"/>
    <x v="3"/>
    <x v="6"/>
    <x v="0"/>
    <x v="0"/>
  </r>
  <r>
    <x v="3"/>
    <x v="0"/>
    <x v="68"/>
    <x v="2"/>
    <x v="25"/>
    <x v="16"/>
    <x v="61"/>
    <x v="3"/>
    <x v="2"/>
    <x v="2"/>
    <x v="6"/>
    <x v="1"/>
    <x v="0"/>
  </r>
  <r>
    <x v="1"/>
    <x v="0"/>
    <x v="22"/>
    <x v="2"/>
    <x v="40"/>
    <x v="20"/>
    <x v="188"/>
    <x v="3"/>
    <x v="0"/>
    <x v="3"/>
    <x v="6"/>
    <x v="8"/>
    <x v="0"/>
  </r>
  <r>
    <x v="6"/>
    <x v="0"/>
    <x v="56"/>
    <x v="1"/>
    <x v="9"/>
    <x v="23"/>
    <x v="26"/>
    <x v="13"/>
    <x v="0"/>
    <x v="6"/>
    <x v="8"/>
    <x v="8"/>
    <x v="0"/>
  </r>
  <r>
    <x v="2"/>
    <x v="1"/>
    <x v="44"/>
    <x v="1"/>
    <x v="7"/>
    <x v="24"/>
    <x v="195"/>
    <x v="16"/>
    <x v="0"/>
    <x v="9"/>
    <x v="2"/>
    <x v="4"/>
    <x v="0"/>
  </r>
  <r>
    <x v="1"/>
    <x v="0"/>
    <x v="52"/>
    <x v="0"/>
    <x v="41"/>
    <x v="6"/>
    <x v="168"/>
    <x v="10"/>
    <x v="2"/>
    <x v="1"/>
    <x v="4"/>
    <x v="4"/>
    <x v="0"/>
  </r>
  <r>
    <x v="5"/>
    <x v="1"/>
    <x v="18"/>
    <x v="0"/>
    <x v="14"/>
    <x v="20"/>
    <x v="122"/>
    <x v="11"/>
    <x v="0"/>
    <x v="8"/>
    <x v="0"/>
    <x v="6"/>
    <x v="0"/>
  </r>
  <r>
    <x v="5"/>
    <x v="0"/>
    <x v="65"/>
    <x v="2"/>
    <x v="39"/>
    <x v="12"/>
    <x v="30"/>
    <x v="9"/>
    <x v="2"/>
    <x v="7"/>
    <x v="2"/>
    <x v="1"/>
    <x v="0"/>
  </r>
  <r>
    <x v="6"/>
    <x v="0"/>
    <x v="46"/>
    <x v="2"/>
    <x v="5"/>
    <x v="0"/>
    <x v="102"/>
    <x v="7"/>
    <x v="2"/>
    <x v="4"/>
    <x v="9"/>
    <x v="6"/>
    <x v="0"/>
  </r>
  <r>
    <x v="3"/>
    <x v="1"/>
    <x v="48"/>
    <x v="2"/>
    <x v="12"/>
    <x v="18"/>
    <x v="146"/>
    <x v="15"/>
    <x v="1"/>
    <x v="8"/>
    <x v="3"/>
    <x v="5"/>
    <x v="1"/>
  </r>
  <r>
    <x v="3"/>
    <x v="1"/>
    <x v="12"/>
    <x v="0"/>
    <x v="38"/>
    <x v="18"/>
    <x v="142"/>
    <x v="7"/>
    <x v="1"/>
    <x v="5"/>
    <x v="0"/>
    <x v="6"/>
    <x v="0"/>
  </r>
  <r>
    <x v="5"/>
    <x v="1"/>
    <x v="6"/>
    <x v="1"/>
    <x v="44"/>
    <x v="23"/>
    <x v="182"/>
    <x v="9"/>
    <x v="2"/>
    <x v="6"/>
    <x v="5"/>
    <x v="0"/>
    <x v="0"/>
  </r>
  <r>
    <x v="6"/>
    <x v="1"/>
    <x v="35"/>
    <x v="0"/>
    <x v="14"/>
    <x v="25"/>
    <x v="150"/>
    <x v="1"/>
    <x v="1"/>
    <x v="4"/>
    <x v="5"/>
    <x v="7"/>
    <x v="0"/>
  </r>
  <r>
    <x v="3"/>
    <x v="1"/>
    <x v="64"/>
    <x v="1"/>
    <x v="24"/>
    <x v="18"/>
    <x v="159"/>
    <x v="12"/>
    <x v="0"/>
    <x v="0"/>
    <x v="4"/>
    <x v="2"/>
    <x v="0"/>
  </r>
  <r>
    <x v="1"/>
    <x v="1"/>
    <x v="40"/>
    <x v="1"/>
    <x v="0"/>
    <x v="7"/>
    <x v="196"/>
    <x v="11"/>
    <x v="2"/>
    <x v="5"/>
    <x v="6"/>
    <x v="9"/>
    <x v="0"/>
  </r>
  <r>
    <x v="2"/>
    <x v="1"/>
    <x v="16"/>
    <x v="0"/>
    <x v="39"/>
    <x v="11"/>
    <x v="191"/>
    <x v="2"/>
    <x v="0"/>
    <x v="0"/>
    <x v="1"/>
    <x v="4"/>
    <x v="0"/>
  </r>
  <r>
    <x v="3"/>
    <x v="0"/>
    <x v="16"/>
    <x v="2"/>
    <x v="39"/>
    <x v="20"/>
    <x v="20"/>
    <x v="5"/>
    <x v="1"/>
    <x v="0"/>
    <x v="6"/>
    <x v="4"/>
    <x v="0"/>
  </r>
  <r>
    <x v="0"/>
    <x v="1"/>
    <x v="18"/>
    <x v="0"/>
    <x v="21"/>
    <x v="25"/>
    <x v="193"/>
    <x v="11"/>
    <x v="1"/>
    <x v="8"/>
    <x v="9"/>
    <x v="0"/>
    <x v="0"/>
  </r>
  <r>
    <x v="5"/>
    <x v="0"/>
    <x v="27"/>
    <x v="1"/>
    <x v="39"/>
    <x v="24"/>
    <x v="119"/>
    <x v="9"/>
    <x v="0"/>
    <x v="4"/>
    <x v="0"/>
    <x v="6"/>
    <x v="0"/>
  </r>
  <r>
    <x v="4"/>
    <x v="1"/>
    <x v="55"/>
    <x v="0"/>
    <x v="13"/>
    <x v="14"/>
    <x v="40"/>
    <x v="4"/>
    <x v="0"/>
    <x v="8"/>
    <x v="5"/>
    <x v="3"/>
    <x v="0"/>
  </r>
  <r>
    <x v="3"/>
    <x v="1"/>
    <x v="32"/>
    <x v="1"/>
    <x v="23"/>
    <x v="17"/>
    <x v="132"/>
    <x v="11"/>
    <x v="0"/>
    <x v="0"/>
    <x v="3"/>
    <x v="5"/>
    <x v="0"/>
  </r>
  <r>
    <x v="4"/>
    <x v="1"/>
    <x v="8"/>
    <x v="1"/>
    <x v="8"/>
    <x v="12"/>
    <x v="44"/>
    <x v="8"/>
    <x v="0"/>
    <x v="1"/>
    <x v="6"/>
    <x v="6"/>
    <x v="1"/>
  </r>
  <r>
    <x v="3"/>
    <x v="1"/>
    <x v="15"/>
    <x v="2"/>
    <x v="7"/>
    <x v="5"/>
    <x v="123"/>
    <x v="8"/>
    <x v="2"/>
    <x v="1"/>
    <x v="0"/>
    <x v="1"/>
    <x v="0"/>
  </r>
  <r>
    <x v="3"/>
    <x v="1"/>
    <x v="48"/>
    <x v="0"/>
    <x v="5"/>
    <x v="24"/>
    <x v="104"/>
    <x v="16"/>
    <x v="1"/>
    <x v="4"/>
    <x v="3"/>
    <x v="2"/>
    <x v="0"/>
  </r>
  <r>
    <x v="3"/>
    <x v="0"/>
    <x v="39"/>
    <x v="0"/>
    <x v="40"/>
    <x v="9"/>
    <x v="35"/>
    <x v="17"/>
    <x v="2"/>
    <x v="5"/>
    <x v="3"/>
    <x v="2"/>
    <x v="0"/>
  </r>
  <r>
    <x v="0"/>
    <x v="1"/>
    <x v="6"/>
    <x v="1"/>
    <x v="31"/>
    <x v="9"/>
    <x v="185"/>
    <x v="6"/>
    <x v="2"/>
    <x v="5"/>
    <x v="2"/>
    <x v="3"/>
    <x v="0"/>
  </r>
  <r>
    <x v="3"/>
    <x v="0"/>
    <x v="42"/>
    <x v="1"/>
    <x v="21"/>
    <x v="12"/>
    <x v="141"/>
    <x v="5"/>
    <x v="0"/>
    <x v="8"/>
    <x v="4"/>
    <x v="3"/>
    <x v="0"/>
  </r>
  <r>
    <x v="6"/>
    <x v="0"/>
    <x v="59"/>
    <x v="1"/>
    <x v="5"/>
    <x v="16"/>
    <x v="129"/>
    <x v="14"/>
    <x v="0"/>
    <x v="5"/>
    <x v="9"/>
    <x v="8"/>
    <x v="0"/>
  </r>
  <r>
    <x v="6"/>
    <x v="0"/>
    <x v="10"/>
    <x v="0"/>
    <x v="26"/>
    <x v="20"/>
    <x v="69"/>
    <x v="5"/>
    <x v="1"/>
    <x v="1"/>
    <x v="2"/>
    <x v="4"/>
    <x v="0"/>
  </r>
  <r>
    <x v="3"/>
    <x v="0"/>
    <x v="51"/>
    <x v="0"/>
    <x v="1"/>
    <x v="18"/>
    <x v="197"/>
    <x v="8"/>
    <x v="2"/>
    <x v="2"/>
    <x v="8"/>
    <x v="5"/>
    <x v="0"/>
  </r>
  <r>
    <x v="1"/>
    <x v="1"/>
    <x v="49"/>
    <x v="2"/>
    <x v="32"/>
    <x v="22"/>
    <x v="63"/>
    <x v="20"/>
    <x v="2"/>
    <x v="4"/>
    <x v="7"/>
    <x v="4"/>
    <x v="0"/>
  </r>
  <r>
    <x v="3"/>
    <x v="0"/>
    <x v="70"/>
    <x v="1"/>
    <x v="33"/>
    <x v="19"/>
    <x v="8"/>
    <x v="13"/>
    <x v="1"/>
    <x v="6"/>
    <x v="1"/>
    <x v="4"/>
    <x v="0"/>
  </r>
  <r>
    <x v="3"/>
    <x v="1"/>
    <x v="43"/>
    <x v="0"/>
    <x v="17"/>
    <x v="20"/>
    <x v="188"/>
    <x v="8"/>
    <x v="2"/>
    <x v="7"/>
    <x v="8"/>
    <x v="8"/>
    <x v="0"/>
  </r>
  <r>
    <x v="6"/>
    <x v="1"/>
    <x v="59"/>
    <x v="0"/>
    <x v="4"/>
    <x v="15"/>
    <x v="117"/>
    <x v="18"/>
    <x v="2"/>
    <x v="0"/>
    <x v="9"/>
    <x v="5"/>
    <x v="0"/>
  </r>
  <r>
    <x v="3"/>
    <x v="1"/>
    <x v="26"/>
    <x v="2"/>
    <x v="22"/>
    <x v="20"/>
    <x v="62"/>
    <x v="3"/>
    <x v="0"/>
    <x v="5"/>
    <x v="6"/>
    <x v="3"/>
    <x v="0"/>
  </r>
  <r>
    <x v="4"/>
    <x v="0"/>
    <x v="5"/>
    <x v="0"/>
    <x v="7"/>
    <x v="12"/>
    <x v="62"/>
    <x v="5"/>
    <x v="1"/>
    <x v="5"/>
    <x v="0"/>
    <x v="9"/>
    <x v="0"/>
  </r>
  <r>
    <x v="4"/>
    <x v="1"/>
    <x v="21"/>
    <x v="1"/>
    <x v="39"/>
    <x v="16"/>
    <x v="30"/>
    <x v="15"/>
    <x v="1"/>
    <x v="5"/>
    <x v="7"/>
    <x v="1"/>
    <x v="0"/>
  </r>
  <r>
    <x v="2"/>
    <x v="1"/>
    <x v="26"/>
    <x v="1"/>
    <x v="45"/>
    <x v="2"/>
    <x v="86"/>
    <x v="16"/>
    <x v="1"/>
    <x v="3"/>
    <x v="1"/>
    <x v="2"/>
    <x v="0"/>
  </r>
  <r>
    <x v="0"/>
    <x v="0"/>
    <x v="50"/>
    <x v="0"/>
    <x v="44"/>
    <x v="8"/>
    <x v="100"/>
    <x v="7"/>
    <x v="0"/>
    <x v="8"/>
    <x v="1"/>
    <x v="4"/>
    <x v="0"/>
  </r>
  <r>
    <x v="4"/>
    <x v="1"/>
    <x v="55"/>
    <x v="2"/>
    <x v="14"/>
    <x v="22"/>
    <x v="37"/>
    <x v="14"/>
    <x v="0"/>
    <x v="6"/>
    <x v="6"/>
    <x v="2"/>
    <x v="0"/>
  </r>
  <r>
    <x v="0"/>
    <x v="1"/>
    <x v="19"/>
    <x v="1"/>
    <x v="44"/>
    <x v="4"/>
    <x v="127"/>
    <x v="6"/>
    <x v="0"/>
    <x v="8"/>
    <x v="4"/>
    <x v="1"/>
    <x v="0"/>
  </r>
  <r>
    <x v="6"/>
    <x v="1"/>
    <x v="21"/>
    <x v="1"/>
    <x v="45"/>
    <x v="12"/>
    <x v="196"/>
    <x v="0"/>
    <x v="2"/>
    <x v="4"/>
    <x v="5"/>
    <x v="0"/>
    <x v="0"/>
  </r>
  <r>
    <x v="3"/>
    <x v="0"/>
    <x v="48"/>
    <x v="0"/>
    <x v="10"/>
    <x v="11"/>
    <x v="0"/>
    <x v="17"/>
    <x v="2"/>
    <x v="0"/>
    <x v="7"/>
    <x v="1"/>
    <x v="0"/>
  </r>
  <r>
    <x v="3"/>
    <x v="1"/>
    <x v="36"/>
    <x v="1"/>
    <x v="6"/>
    <x v="24"/>
    <x v="64"/>
    <x v="16"/>
    <x v="0"/>
    <x v="3"/>
    <x v="5"/>
    <x v="4"/>
    <x v="0"/>
  </r>
  <r>
    <x v="1"/>
    <x v="1"/>
    <x v="57"/>
    <x v="2"/>
    <x v="8"/>
    <x v="17"/>
    <x v="101"/>
    <x v="14"/>
    <x v="1"/>
    <x v="3"/>
    <x v="6"/>
    <x v="7"/>
    <x v="0"/>
  </r>
  <r>
    <x v="4"/>
    <x v="1"/>
    <x v="15"/>
    <x v="2"/>
    <x v="16"/>
    <x v="19"/>
    <x v="8"/>
    <x v="3"/>
    <x v="0"/>
    <x v="2"/>
    <x v="9"/>
    <x v="6"/>
    <x v="0"/>
  </r>
  <r>
    <x v="4"/>
    <x v="0"/>
    <x v="0"/>
    <x v="1"/>
    <x v="40"/>
    <x v="19"/>
    <x v="74"/>
    <x v="7"/>
    <x v="0"/>
    <x v="7"/>
    <x v="2"/>
    <x v="6"/>
    <x v="0"/>
  </r>
  <r>
    <x v="0"/>
    <x v="1"/>
    <x v="17"/>
    <x v="2"/>
    <x v="37"/>
    <x v="21"/>
    <x v="26"/>
    <x v="1"/>
    <x v="0"/>
    <x v="4"/>
    <x v="5"/>
    <x v="5"/>
    <x v="0"/>
  </r>
  <r>
    <x v="1"/>
    <x v="1"/>
    <x v="6"/>
    <x v="2"/>
    <x v="0"/>
    <x v="23"/>
    <x v="64"/>
    <x v="3"/>
    <x v="2"/>
    <x v="8"/>
    <x v="2"/>
    <x v="4"/>
    <x v="0"/>
  </r>
  <r>
    <x v="4"/>
    <x v="0"/>
    <x v="70"/>
    <x v="0"/>
    <x v="20"/>
    <x v="10"/>
    <x v="108"/>
    <x v="13"/>
    <x v="1"/>
    <x v="6"/>
    <x v="0"/>
    <x v="6"/>
    <x v="0"/>
  </r>
  <r>
    <x v="1"/>
    <x v="1"/>
    <x v="0"/>
    <x v="0"/>
    <x v="12"/>
    <x v="4"/>
    <x v="38"/>
    <x v="13"/>
    <x v="1"/>
    <x v="2"/>
    <x v="7"/>
    <x v="3"/>
    <x v="0"/>
  </r>
  <r>
    <x v="0"/>
    <x v="0"/>
    <x v="10"/>
    <x v="1"/>
    <x v="5"/>
    <x v="24"/>
    <x v="133"/>
    <x v="12"/>
    <x v="2"/>
    <x v="8"/>
    <x v="5"/>
    <x v="9"/>
    <x v="1"/>
  </r>
  <r>
    <x v="5"/>
    <x v="1"/>
    <x v="5"/>
    <x v="0"/>
    <x v="44"/>
    <x v="22"/>
    <x v="45"/>
    <x v="12"/>
    <x v="1"/>
    <x v="8"/>
    <x v="1"/>
    <x v="2"/>
    <x v="0"/>
  </r>
  <r>
    <x v="5"/>
    <x v="0"/>
    <x v="4"/>
    <x v="2"/>
    <x v="36"/>
    <x v="8"/>
    <x v="28"/>
    <x v="19"/>
    <x v="2"/>
    <x v="6"/>
    <x v="3"/>
    <x v="2"/>
    <x v="0"/>
  </r>
  <r>
    <x v="5"/>
    <x v="0"/>
    <x v="30"/>
    <x v="0"/>
    <x v="35"/>
    <x v="14"/>
    <x v="120"/>
    <x v="14"/>
    <x v="0"/>
    <x v="2"/>
    <x v="5"/>
    <x v="8"/>
    <x v="0"/>
  </r>
  <r>
    <x v="2"/>
    <x v="1"/>
    <x v="41"/>
    <x v="1"/>
    <x v="44"/>
    <x v="22"/>
    <x v="189"/>
    <x v="14"/>
    <x v="2"/>
    <x v="9"/>
    <x v="7"/>
    <x v="4"/>
    <x v="1"/>
  </r>
  <r>
    <x v="4"/>
    <x v="0"/>
    <x v="23"/>
    <x v="1"/>
    <x v="38"/>
    <x v="6"/>
    <x v="59"/>
    <x v="9"/>
    <x v="0"/>
    <x v="8"/>
    <x v="2"/>
    <x v="5"/>
    <x v="0"/>
  </r>
  <r>
    <x v="6"/>
    <x v="1"/>
    <x v="30"/>
    <x v="0"/>
    <x v="38"/>
    <x v="2"/>
    <x v="50"/>
    <x v="0"/>
    <x v="2"/>
    <x v="5"/>
    <x v="9"/>
    <x v="3"/>
    <x v="0"/>
  </r>
  <r>
    <x v="5"/>
    <x v="0"/>
    <x v="24"/>
    <x v="2"/>
    <x v="48"/>
    <x v="19"/>
    <x v="189"/>
    <x v="10"/>
    <x v="0"/>
    <x v="7"/>
    <x v="7"/>
    <x v="9"/>
    <x v="0"/>
  </r>
  <r>
    <x v="1"/>
    <x v="1"/>
    <x v="13"/>
    <x v="2"/>
    <x v="21"/>
    <x v="25"/>
    <x v="52"/>
    <x v="0"/>
    <x v="0"/>
    <x v="7"/>
    <x v="2"/>
    <x v="9"/>
    <x v="0"/>
  </r>
  <r>
    <x v="5"/>
    <x v="1"/>
    <x v="50"/>
    <x v="2"/>
    <x v="17"/>
    <x v="7"/>
    <x v="104"/>
    <x v="17"/>
    <x v="0"/>
    <x v="8"/>
    <x v="4"/>
    <x v="0"/>
    <x v="0"/>
  </r>
  <r>
    <x v="6"/>
    <x v="1"/>
    <x v="15"/>
    <x v="0"/>
    <x v="6"/>
    <x v="2"/>
    <x v="20"/>
    <x v="7"/>
    <x v="2"/>
    <x v="2"/>
    <x v="0"/>
    <x v="0"/>
    <x v="0"/>
  </r>
  <r>
    <x v="4"/>
    <x v="0"/>
    <x v="16"/>
    <x v="0"/>
    <x v="28"/>
    <x v="13"/>
    <x v="63"/>
    <x v="19"/>
    <x v="0"/>
    <x v="5"/>
    <x v="6"/>
    <x v="9"/>
    <x v="0"/>
  </r>
  <r>
    <x v="2"/>
    <x v="0"/>
    <x v="24"/>
    <x v="1"/>
    <x v="36"/>
    <x v="24"/>
    <x v="182"/>
    <x v="1"/>
    <x v="0"/>
    <x v="2"/>
    <x v="3"/>
    <x v="4"/>
    <x v="0"/>
  </r>
  <r>
    <x v="0"/>
    <x v="1"/>
    <x v="59"/>
    <x v="0"/>
    <x v="34"/>
    <x v="2"/>
    <x v="59"/>
    <x v="14"/>
    <x v="2"/>
    <x v="1"/>
    <x v="1"/>
    <x v="4"/>
    <x v="0"/>
  </r>
  <r>
    <x v="5"/>
    <x v="1"/>
    <x v="29"/>
    <x v="2"/>
    <x v="31"/>
    <x v="5"/>
    <x v="163"/>
    <x v="16"/>
    <x v="0"/>
    <x v="6"/>
    <x v="7"/>
    <x v="0"/>
    <x v="0"/>
  </r>
  <r>
    <x v="6"/>
    <x v="1"/>
    <x v="37"/>
    <x v="0"/>
    <x v="32"/>
    <x v="9"/>
    <x v="181"/>
    <x v="7"/>
    <x v="2"/>
    <x v="1"/>
    <x v="2"/>
    <x v="3"/>
    <x v="0"/>
  </r>
  <r>
    <x v="1"/>
    <x v="1"/>
    <x v="54"/>
    <x v="2"/>
    <x v="32"/>
    <x v="17"/>
    <x v="185"/>
    <x v="20"/>
    <x v="2"/>
    <x v="0"/>
    <x v="8"/>
    <x v="2"/>
    <x v="0"/>
  </r>
  <r>
    <x v="3"/>
    <x v="0"/>
    <x v="6"/>
    <x v="2"/>
    <x v="42"/>
    <x v="20"/>
    <x v="46"/>
    <x v="5"/>
    <x v="2"/>
    <x v="7"/>
    <x v="4"/>
    <x v="0"/>
    <x v="0"/>
  </r>
  <r>
    <x v="0"/>
    <x v="1"/>
    <x v="37"/>
    <x v="2"/>
    <x v="30"/>
    <x v="8"/>
    <x v="186"/>
    <x v="1"/>
    <x v="2"/>
    <x v="4"/>
    <x v="2"/>
    <x v="3"/>
    <x v="0"/>
  </r>
  <r>
    <x v="1"/>
    <x v="0"/>
    <x v="33"/>
    <x v="0"/>
    <x v="2"/>
    <x v="18"/>
    <x v="90"/>
    <x v="0"/>
    <x v="1"/>
    <x v="6"/>
    <x v="4"/>
    <x v="7"/>
    <x v="0"/>
  </r>
  <r>
    <x v="2"/>
    <x v="0"/>
    <x v="36"/>
    <x v="2"/>
    <x v="18"/>
    <x v="6"/>
    <x v="161"/>
    <x v="1"/>
    <x v="2"/>
    <x v="7"/>
    <x v="8"/>
    <x v="6"/>
    <x v="0"/>
  </r>
  <r>
    <x v="4"/>
    <x v="1"/>
    <x v="41"/>
    <x v="1"/>
    <x v="40"/>
    <x v="12"/>
    <x v="198"/>
    <x v="20"/>
    <x v="0"/>
    <x v="0"/>
    <x v="7"/>
    <x v="2"/>
    <x v="0"/>
  </r>
  <r>
    <x v="6"/>
    <x v="1"/>
    <x v="37"/>
    <x v="0"/>
    <x v="15"/>
    <x v="15"/>
    <x v="36"/>
    <x v="17"/>
    <x v="2"/>
    <x v="4"/>
    <x v="5"/>
    <x v="8"/>
    <x v="0"/>
  </r>
  <r>
    <x v="0"/>
    <x v="0"/>
    <x v="60"/>
    <x v="0"/>
    <x v="9"/>
    <x v="13"/>
    <x v="159"/>
    <x v="10"/>
    <x v="1"/>
    <x v="7"/>
    <x v="1"/>
    <x v="9"/>
    <x v="0"/>
  </r>
  <r>
    <x v="3"/>
    <x v="1"/>
    <x v="2"/>
    <x v="1"/>
    <x v="2"/>
    <x v="11"/>
    <x v="176"/>
    <x v="13"/>
    <x v="0"/>
    <x v="2"/>
    <x v="1"/>
    <x v="6"/>
    <x v="0"/>
  </r>
  <r>
    <x v="3"/>
    <x v="0"/>
    <x v="68"/>
    <x v="2"/>
    <x v="12"/>
    <x v="18"/>
    <x v="43"/>
    <x v="18"/>
    <x v="0"/>
    <x v="6"/>
    <x v="7"/>
    <x v="1"/>
    <x v="0"/>
  </r>
  <r>
    <x v="4"/>
    <x v="0"/>
    <x v="13"/>
    <x v="0"/>
    <x v="10"/>
    <x v="7"/>
    <x v="60"/>
    <x v="9"/>
    <x v="2"/>
    <x v="8"/>
    <x v="3"/>
    <x v="8"/>
    <x v="0"/>
  </r>
  <r>
    <x v="3"/>
    <x v="0"/>
    <x v="31"/>
    <x v="1"/>
    <x v="3"/>
    <x v="0"/>
    <x v="142"/>
    <x v="7"/>
    <x v="0"/>
    <x v="1"/>
    <x v="2"/>
    <x v="7"/>
    <x v="0"/>
  </r>
  <r>
    <x v="6"/>
    <x v="0"/>
    <x v="54"/>
    <x v="1"/>
    <x v="30"/>
    <x v="8"/>
    <x v="160"/>
    <x v="16"/>
    <x v="1"/>
    <x v="4"/>
    <x v="5"/>
    <x v="7"/>
    <x v="0"/>
  </r>
  <r>
    <x v="0"/>
    <x v="1"/>
    <x v="2"/>
    <x v="1"/>
    <x v="27"/>
    <x v="13"/>
    <x v="42"/>
    <x v="0"/>
    <x v="0"/>
    <x v="9"/>
    <x v="0"/>
    <x v="2"/>
    <x v="0"/>
  </r>
  <r>
    <x v="4"/>
    <x v="0"/>
    <x v="68"/>
    <x v="0"/>
    <x v="37"/>
    <x v="12"/>
    <x v="167"/>
    <x v="14"/>
    <x v="2"/>
    <x v="7"/>
    <x v="7"/>
    <x v="5"/>
    <x v="0"/>
  </r>
  <r>
    <x v="4"/>
    <x v="1"/>
    <x v="48"/>
    <x v="1"/>
    <x v="39"/>
    <x v="10"/>
    <x v="189"/>
    <x v="1"/>
    <x v="2"/>
    <x v="3"/>
    <x v="2"/>
    <x v="6"/>
    <x v="0"/>
  </r>
  <r>
    <x v="1"/>
    <x v="1"/>
    <x v="19"/>
    <x v="2"/>
    <x v="40"/>
    <x v="23"/>
    <x v="130"/>
    <x v="16"/>
    <x v="1"/>
    <x v="5"/>
    <x v="5"/>
    <x v="5"/>
    <x v="0"/>
  </r>
  <r>
    <x v="6"/>
    <x v="0"/>
    <x v="40"/>
    <x v="2"/>
    <x v="19"/>
    <x v="6"/>
    <x v="127"/>
    <x v="5"/>
    <x v="0"/>
    <x v="9"/>
    <x v="1"/>
    <x v="6"/>
    <x v="0"/>
  </r>
  <r>
    <x v="3"/>
    <x v="1"/>
    <x v="31"/>
    <x v="0"/>
    <x v="13"/>
    <x v="2"/>
    <x v="97"/>
    <x v="19"/>
    <x v="1"/>
    <x v="7"/>
    <x v="0"/>
    <x v="8"/>
    <x v="0"/>
  </r>
  <r>
    <x v="1"/>
    <x v="1"/>
    <x v="2"/>
    <x v="1"/>
    <x v="35"/>
    <x v="5"/>
    <x v="119"/>
    <x v="8"/>
    <x v="1"/>
    <x v="9"/>
    <x v="1"/>
    <x v="3"/>
    <x v="0"/>
  </r>
  <r>
    <x v="4"/>
    <x v="1"/>
    <x v="27"/>
    <x v="0"/>
    <x v="45"/>
    <x v="20"/>
    <x v="107"/>
    <x v="9"/>
    <x v="1"/>
    <x v="3"/>
    <x v="2"/>
    <x v="2"/>
    <x v="0"/>
  </r>
  <r>
    <x v="4"/>
    <x v="0"/>
    <x v="69"/>
    <x v="2"/>
    <x v="42"/>
    <x v="12"/>
    <x v="43"/>
    <x v="7"/>
    <x v="2"/>
    <x v="7"/>
    <x v="4"/>
    <x v="4"/>
    <x v="0"/>
  </r>
  <r>
    <x v="6"/>
    <x v="1"/>
    <x v="60"/>
    <x v="0"/>
    <x v="47"/>
    <x v="3"/>
    <x v="144"/>
    <x v="9"/>
    <x v="1"/>
    <x v="1"/>
    <x v="6"/>
    <x v="0"/>
    <x v="0"/>
  </r>
  <r>
    <x v="1"/>
    <x v="1"/>
    <x v="30"/>
    <x v="2"/>
    <x v="12"/>
    <x v="22"/>
    <x v="51"/>
    <x v="13"/>
    <x v="1"/>
    <x v="4"/>
    <x v="9"/>
    <x v="8"/>
    <x v="0"/>
  </r>
  <r>
    <x v="4"/>
    <x v="1"/>
    <x v="23"/>
    <x v="0"/>
    <x v="13"/>
    <x v="0"/>
    <x v="136"/>
    <x v="8"/>
    <x v="1"/>
    <x v="1"/>
    <x v="8"/>
    <x v="1"/>
    <x v="0"/>
  </r>
  <r>
    <x v="3"/>
    <x v="0"/>
    <x v="6"/>
    <x v="1"/>
    <x v="34"/>
    <x v="13"/>
    <x v="1"/>
    <x v="18"/>
    <x v="2"/>
    <x v="6"/>
    <x v="4"/>
    <x v="9"/>
    <x v="0"/>
  </r>
  <r>
    <x v="0"/>
    <x v="0"/>
    <x v="9"/>
    <x v="0"/>
    <x v="24"/>
    <x v="2"/>
    <x v="154"/>
    <x v="14"/>
    <x v="0"/>
    <x v="1"/>
    <x v="1"/>
    <x v="7"/>
    <x v="0"/>
  </r>
  <r>
    <x v="0"/>
    <x v="1"/>
    <x v="42"/>
    <x v="1"/>
    <x v="1"/>
    <x v="2"/>
    <x v="24"/>
    <x v="15"/>
    <x v="2"/>
    <x v="3"/>
    <x v="9"/>
    <x v="9"/>
    <x v="0"/>
  </r>
  <r>
    <x v="3"/>
    <x v="0"/>
    <x v="45"/>
    <x v="1"/>
    <x v="7"/>
    <x v="20"/>
    <x v="23"/>
    <x v="11"/>
    <x v="2"/>
    <x v="2"/>
    <x v="5"/>
    <x v="5"/>
    <x v="0"/>
  </r>
  <r>
    <x v="6"/>
    <x v="1"/>
    <x v="55"/>
    <x v="2"/>
    <x v="48"/>
    <x v="7"/>
    <x v="89"/>
    <x v="4"/>
    <x v="1"/>
    <x v="8"/>
    <x v="7"/>
    <x v="4"/>
    <x v="0"/>
  </r>
  <r>
    <x v="3"/>
    <x v="0"/>
    <x v="53"/>
    <x v="2"/>
    <x v="16"/>
    <x v="11"/>
    <x v="121"/>
    <x v="10"/>
    <x v="2"/>
    <x v="2"/>
    <x v="3"/>
    <x v="5"/>
    <x v="0"/>
  </r>
  <r>
    <x v="3"/>
    <x v="0"/>
    <x v="35"/>
    <x v="2"/>
    <x v="28"/>
    <x v="20"/>
    <x v="12"/>
    <x v="1"/>
    <x v="0"/>
    <x v="3"/>
    <x v="8"/>
    <x v="9"/>
    <x v="0"/>
  </r>
  <r>
    <x v="1"/>
    <x v="1"/>
    <x v="45"/>
    <x v="0"/>
    <x v="23"/>
    <x v="19"/>
    <x v="185"/>
    <x v="7"/>
    <x v="2"/>
    <x v="4"/>
    <x v="8"/>
    <x v="0"/>
    <x v="0"/>
  </r>
  <r>
    <x v="2"/>
    <x v="0"/>
    <x v="55"/>
    <x v="2"/>
    <x v="12"/>
    <x v="19"/>
    <x v="0"/>
    <x v="19"/>
    <x v="0"/>
    <x v="2"/>
    <x v="9"/>
    <x v="0"/>
    <x v="0"/>
  </r>
  <r>
    <x v="2"/>
    <x v="0"/>
    <x v="48"/>
    <x v="0"/>
    <x v="3"/>
    <x v="21"/>
    <x v="41"/>
    <x v="16"/>
    <x v="0"/>
    <x v="6"/>
    <x v="0"/>
    <x v="7"/>
    <x v="0"/>
  </r>
  <r>
    <x v="0"/>
    <x v="1"/>
    <x v="68"/>
    <x v="1"/>
    <x v="12"/>
    <x v="25"/>
    <x v="182"/>
    <x v="18"/>
    <x v="0"/>
    <x v="8"/>
    <x v="5"/>
    <x v="9"/>
    <x v="0"/>
  </r>
  <r>
    <x v="1"/>
    <x v="1"/>
    <x v="27"/>
    <x v="0"/>
    <x v="32"/>
    <x v="0"/>
    <x v="7"/>
    <x v="12"/>
    <x v="2"/>
    <x v="5"/>
    <x v="0"/>
    <x v="2"/>
    <x v="0"/>
  </r>
  <r>
    <x v="1"/>
    <x v="1"/>
    <x v="64"/>
    <x v="0"/>
    <x v="20"/>
    <x v="7"/>
    <x v="84"/>
    <x v="0"/>
    <x v="1"/>
    <x v="4"/>
    <x v="6"/>
    <x v="3"/>
    <x v="0"/>
  </r>
  <r>
    <x v="5"/>
    <x v="0"/>
    <x v="28"/>
    <x v="0"/>
    <x v="36"/>
    <x v="6"/>
    <x v="145"/>
    <x v="19"/>
    <x v="0"/>
    <x v="3"/>
    <x v="0"/>
    <x v="2"/>
    <x v="0"/>
  </r>
  <r>
    <x v="4"/>
    <x v="0"/>
    <x v="69"/>
    <x v="0"/>
    <x v="8"/>
    <x v="16"/>
    <x v="148"/>
    <x v="8"/>
    <x v="0"/>
    <x v="6"/>
    <x v="5"/>
    <x v="1"/>
    <x v="0"/>
  </r>
  <r>
    <x v="1"/>
    <x v="1"/>
    <x v="47"/>
    <x v="0"/>
    <x v="34"/>
    <x v="17"/>
    <x v="1"/>
    <x v="16"/>
    <x v="2"/>
    <x v="5"/>
    <x v="9"/>
    <x v="1"/>
    <x v="0"/>
  </r>
  <r>
    <x v="0"/>
    <x v="1"/>
    <x v="24"/>
    <x v="1"/>
    <x v="50"/>
    <x v="20"/>
    <x v="41"/>
    <x v="10"/>
    <x v="1"/>
    <x v="6"/>
    <x v="1"/>
    <x v="7"/>
    <x v="0"/>
  </r>
  <r>
    <x v="3"/>
    <x v="1"/>
    <x v="57"/>
    <x v="1"/>
    <x v="14"/>
    <x v="16"/>
    <x v="91"/>
    <x v="12"/>
    <x v="1"/>
    <x v="7"/>
    <x v="4"/>
    <x v="5"/>
    <x v="0"/>
  </r>
  <r>
    <x v="0"/>
    <x v="1"/>
    <x v="4"/>
    <x v="1"/>
    <x v="5"/>
    <x v="5"/>
    <x v="2"/>
    <x v="7"/>
    <x v="0"/>
    <x v="7"/>
    <x v="1"/>
    <x v="6"/>
    <x v="0"/>
  </r>
  <r>
    <x v="4"/>
    <x v="1"/>
    <x v="38"/>
    <x v="0"/>
    <x v="12"/>
    <x v="11"/>
    <x v="194"/>
    <x v="10"/>
    <x v="2"/>
    <x v="3"/>
    <x v="1"/>
    <x v="8"/>
    <x v="0"/>
  </r>
  <r>
    <x v="2"/>
    <x v="0"/>
    <x v="6"/>
    <x v="2"/>
    <x v="33"/>
    <x v="14"/>
    <x v="51"/>
    <x v="15"/>
    <x v="0"/>
    <x v="2"/>
    <x v="3"/>
    <x v="5"/>
    <x v="0"/>
  </r>
  <r>
    <x v="4"/>
    <x v="1"/>
    <x v="69"/>
    <x v="0"/>
    <x v="14"/>
    <x v="8"/>
    <x v="181"/>
    <x v="20"/>
    <x v="0"/>
    <x v="1"/>
    <x v="8"/>
    <x v="9"/>
    <x v="0"/>
  </r>
  <r>
    <x v="1"/>
    <x v="0"/>
    <x v="46"/>
    <x v="1"/>
    <x v="35"/>
    <x v="12"/>
    <x v="102"/>
    <x v="2"/>
    <x v="1"/>
    <x v="8"/>
    <x v="7"/>
    <x v="4"/>
    <x v="0"/>
  </r>
  <r>
    <x v="0"/>
    <x v="1"/>
    <x v="68"/>
    <x v="2"/>
    <x v="20"/>
    <x v="25"/>
    <x v="114"/>
    <x v="17"/>
    <x v="2"/>
    <x v="7"/>
    <x v="2"/>
    <x v="5"/>
    <x v="0"/>
  </r>
  <r>
    <x v="5"/>
    <x v="0"/>
    <x v="47"/>
    <x v="1"/>
    <x v="0"/>
    <x v="22"/>
    <x v="191"/>
    <x v="1"/>
    <x v="0"/>
    <x v="8"/>
    <x v="4"/>
    <x v="7"/>
    <x v="0"/>
  </r>
  <r>
    <x v="5"/>
    <x v="1"/>
    <x v="60"/>
    <x v="1"/>
    <x v="7"/>
    <x v="17"/>
    <x v="107"/>
    <x v="5"/>
    <x v="1"/>
    <x v="7"/>
    <x v="0"/>
    <x v="3"/>
    <x v="0"/>
  </r>
  <r>
    <x v="4"/>
    <x v="0"/>
    <x v="12"/>
    <x v="1"/>
    <x v="1"/>
    <x v="7"/>
    <x v="72"/>
    <x v="15"/>
    <x v="0"/>
    <x v="5"/>
    <x v="0"/>
    <x v="0"/>
    <x v="0"/>
  </r>
  <r>
    <x v="0"/>
    <x v="1"/>
    <x v="61"/>
    <x v="0"/>
    <x v="37"/>
    <x v="23"/>
    <x v="97"/>
    <x v="19"/>
    <x v="2"/>
    <x v="2"/>
    <x v="6"/>
    <x v="7"/>
    <x v="0"/>
  </r>
  <r>
    <x v="6"/>
    <x v="1"/>
    <x v="54"/>
    <x v="0"/>
    <x v="11"/>
    <x v="11"/>
    <x v="15"/>
    <x v="8"/>
    <x v="0"/>
    <x v="2"/>
    <x v="9"/>
    <x v="8"/>
    <x v="0"/>
  </r>
  <r>
    <x v="3"/>
    <x v="1"/>
    <x v="15"/>
    <x v="1"/>
    <x v="7"/>
    <x v="4"/>
    <x v="64"/>
    <x v="18"/>
    <x v="0"/>
    <x v="3"/>
    <x v="3"/>
    <x v="5"/>
    <x v="0"/>
  </r>
  <r>
    <x v="2"/>
    <x v="0"/>
    <x v="60"/>
    <x v="0"/>
    <x v="41"/>
    <x v="19"/>
    <x v="53"/>
    <x v="0"/>
    <x v="0"/>
    <x v="1"/>
    <x v="7"/>
    <x v="4"/>
    <x v="0"/>
  </r>
  <r>
    <x v="2"/>
    <x v="0"/>
    <x v="54"/>
    <x v="2"/>
    <x v="14"/>
    <x v="23"/>
    <x v="121"/>
    <x v="3"/>
    <x v="2"/>
    <x v="1"/>
    <x v="0"/>
    <x v="6"/>
    <x v="0"/>
  </r>
  <r>
    <x v="6"/>
    <x v="1"/>
    <x v="35"/>
    <x v="0"/>
    <x v="14"/>
    <x v="23"/>
    <x v="76"/>
    <x v="12"/>
    <x v="0"/>
    <x v="3"/>
    <x v="3"/>
    <x v="2"/>
    <x v="0"/>
  </r>
  <r>
    <x v="0"/>
    <x v="1"/>
    <x v="2"/>
    <x v="1"/>
    <x v="40"/>
    <x v="12"/>
    <x v="17"/>
    <x v="16"/>
    <x v="2"/>
    <x v="7"/>
    <x v="6"/>
    <x v="4"/>
    <x v="0"/>
  </r>
  <r>
    <x v="4"/>
    <x v="1"/>
    <x v="66"/>
    <x v="1"/>
    <x v="37"/>
    <x v="0"/>
    <x v="84"/>
    <x v="8"/>
    <x v="2"/>
    <x v="8"/>
    <x v="7"/>
    <x v="0"/>
    <x v="0"/>
  </r>
  <r>
    <x v="0"/>
    <x v="0"/>
    <x v="40"/>
    <x v="2"/>
    <x v="30"/>
    <x v="10"/>
    <x v="81"/>
    <x v="11"/>
    <x v="1"/>
    <x v="5"/>
    <x v="0"/>
    <x v="5"/>
    <x v="0"/>
  </r>
  <r>
    <x v="1"/>
    <x v="0"/>
    <x v="40"/>
    <x v="2"/>
    <x v="30"/>
    <x v="17"/>
    <x v="185"/>
    <x v="13"/>
    <x v="2"/>
    <x v="9"/>
    <x v="4"/>
    <x v="9"/>
    <x v="0"/>
  </r>
  <r>
    <x v="0"/>
    <x v="0"/>
    <x v="3"/>
    <x v="0"/>
    <x v="48"/>
    <x v="4"/>
    <x v="89"/>
    <x v="8"/>
    <x v="0"/>
    <x v="7"/>
    <x v="2"/>
    <x v="7"/>
    <x v="0"/>
  </r>
  <r>
    <x v="1"/>
    <x v="1"/>
    <x v="45"/>
    <x v="1"/>
    <x v="0"/>
    <x v="25"/>
    <x v="182"/>
    <x v="4"/>
    <x v="0"/>
    <x v="4"/>
    <x v="5"/>
    <x v="3"/>
    <x v="0"/>
  </r>
  <r>
    <x v="1"/>
    <x v="1"/>
    <x v="24"/>
    <x v="2"/>
    <x v="16"/>
    <x v="10"/>
    <x v="24"/>
    <x v="0"/>
    <x v="0"/>
    <x v="5"/>
    <x v="2"/>
    <x v="8"/>
    <x v="0"/>
  </r>
  <r>
    <x v="2"/>
    <x v="0"/>
    <x v="62"/>
    <x v="0"/>
    <x v="0"/>
    <x v="25"/>
    <x v="114"/>
    <x v="5"/>
    <x v="1"/>
    <x v="4"/>
    <x v="3"/>
    <x v="0"/>
    <x v="0"/>
  </r>
  <r>
    <x v="2"/>
    <x v="0"/>
    <x v="7"/>
    <x v="2"/>
    <x v="42"/>
    <x v="20"/>
    <x v="128"/>
    <x v="9"/>
    <x v="0"/>
    <x v="0"/>
    <x v="9"/>
    <x v="3"/>
    <x v="0"/>
  </r>
  <r>
    <x v="3"/>
    <x v="1"/>
    <x v="66"/>
    <x v="0"/>
    <x v="27"/>
    <x v="14"/>
    <x v="178"/>
    <x v="12"/>
    <x v="2"/>
    <x v="4"/>
    <x v="5"/>
    <x v="0"/>
    <x v="0"/>
  </r>
  <r>
    <x v="0"/>
    <x v="1"/>
    <x v="32"/>
    <x v="1"/>
    <x v="28"/>
    <x v="7"/>
    <x v="168"/>
    <x v="12"/>
    <x v="1"/>
    <x v="7"/>
    <x v="5"/>
    <x v="0"/>
    <x v="0"/>
  </r>
  <r>
    <x v="4"/>
    <x v="0"/>
    <x v="66"/>
    <x v="0"/>
    <x v="3"/>
    <x v="22"/>
    <x v="135"/>
    <x v="15"/>
    <x v="2"/>
    <x v="9"/>
    <x v="1"/>
    <x v="3"/>
    <x v="0"/>
  </r>
  <r>
    <x v="4"/>
    <x v="1"/>
    <x v="8"/>
    <x v="1"/>
    <x v="27"/>
    <x v="15"/>
    <x v="76"/>
    <x v="15"/>
    <x v="0"/>
    <x v="4"/>
    <x v="9"/>
    <x v="3"/>
    <x v="0"/>
  </r>
  <r>
    <x v="1"/>
    <x v="1"/>
    <x v="38"/>
    <x v="1"/>
    <x v="32"/>
    <x v="10"/>
    <x v="78"/>
    <x v="12"/>
    <x v="1"/>
    <x v="3"/>
    <x v="3"/>
    <x v="4"/>
    <x v="0"/>
  </r>
  <r>
    <x v="6"/>
    <x v="1"/>
    <x v="39"/>
    <x v="1"/>
    <x v="5"/>
    <x v="16"/>
    <x v="188"/>
    <x v="0"/>
    <x v="1"/>
    <x v="3"/>
    <x v="1"/>
    <x v="4"/>
    <x v="0"/>
  </r>
  <r>
    <x v="1"/>
    <x v="0"/>
    <x v="25"/>
    <x v="2"/>
    <x v="5"/>
    <x v="12"/>
    <x v="50"/>
    <x v="8"/>
    <x v="1"/>
    <x v="0"/>
    <x v="7"/>
    <x v="5"/>
    <x v="0"/>
  </r>
  <r>
    <x v="1"/>
    <x v="1"/>
    <x v="63"/>
    <x v="2"/>
    <x v="1"/>
    <x v="7"/>
    <x v="146"/>
    <x v="17"/>
    <x v="0"/>
    <x v="6"/>
    <x v="6"/>
    <x v="9"/>
    <x v="0"/>
  </r>
  <r>
    <x v="4"/>
    <x v="1"/>
    <x v="50"/>
    <x v="0"/>
    <x v="16"/>
    <x v="22"/>
    <x v="9"/>
    <x v="17"/>
    <x v="0"/>
    <x v="6"/>
    <x v="6"/>
    <x v="5"/>
    <x v="0"/>
  </r>
  <r>
    <x v="2"/>
    <x v="0"/>
    <x v="14"/>
    <x v="2"/>
    <x v="1"/>
    <x v="1"/>
    <x v="0"/>
    <x v="14"/>
    <x v="2"/>
    <x v="7"/>
    <x v="0"/>
    <x v="9"/>
    <x v="0"/>
  </r>
  <r>
    <x v="4"/>
    <x v="0"/>
    <x v="41"/>
    <x v="1"/>
    <x v="31"/>
    <x v="8"/>
    <x v="53"/>
    <x v="5"/>
    <x v="0"/>
    <x v="9"/>
    <x v="9"/>
    <x v="7"/>
    <x v="0"/>
  </r>
  <r>
    <x v="0"/>
    <x v="1"/>
    <x v="35"/>
    <x v="0"/>
    <x v="17"/>
    <x v="24"/>
    <x v="160"/>
    <x v="19"/>
    <x v="0"/>
    <x v="0"/>
    <x v="3"/>
    <x v="7"/>
    <x v="0"/>
  </r>
  <r>
    <x v="2"/>
    <x v="0"/>
    <x v="57"/>
    <x v="2"/>
    <x v="36"/>
    <x v="23"/>
    <x v="66"/>
    <x v="11"/>
    <x v="2"/>
    <x v="3"/>
    <x v="1"/>
    <x v="2"/>
    <x v="0"/>
  </r>
  <r>
    <x v="2"/>
    <x v="0"/>
    <x v="28"/>
    <x v="1"/>
    <x v="31"/>
    <x v="7"/>
    <x v="145"/>
    <x v="19"/>
    <x v="2"/>
    <x v="0"/>
    <x v="4"/>
    <x v="8"/>
    <x v="0"/>
  </r>
  <r>
    <x v="6"/>
    <x v="0"/>
    <x v="62"/>
    <x v="1"/>
    <x v="45"/>
    <x v="8"/>
    <x v="126"/>
    <x v="16"/>
    <x v="2"/>
    <x v="9"/>
    <x v="3"/>
    <x v="1"/>
    <x v="0"/>
  </r>
  <r>
    <x v="5"/>
    <x v="1"/>
    <x v="53"/>
    <x v="1"/>
    <x v="10"/>
    <x v="9"/>
    <x v="57"/>
    <x v="20"/>
    <x v="2"/>
    <x v="8"/>
    <x v="9"/>
    <x v="7"/>
    <x v="0"/>
  </r>
  <r>
    <x v="3"/>
    <x v="1"/>
    <x v="29"/>
    <x v="1"/>
    <x v="23"/>
    <x v="13"/>
    <x v="140"/>
    <x v="7"/>
    <x v="1"/>
    <x v="0"/>
    <x v="5"/>
    <x v="0"/>
    <x v="0"/>
  </r>
  <r>
    <x v="5"/>
    <x v="1"/>
    <x v="3"/>
    <x v="1"/>
    <x v="17"/>
    <x v="14"/>
    <x v="143"/>
    <x v="8"/>
    <x v="0"/>
    <x v="0"/>
    <x v="2"/>
    <x v="5"/>
    <x v="0"/>
  </r>
  <r>
    <x v="4"/>
    <x v="0"/>
    <x v="26"/>
    <x v="0"/>
    <x v="47"/>
    <x v="15"/>
    <x v="83"/>
    <x v="13"/>
    <x v="2"/>
    <x v="5"/>
    <x v="6"/>
    <x v="9"/>
    <x v="0"/>
  </r>
  <r>
    <x v="6"/>
    <x v="1"/>
    <x v="20"/>
    <x v="1"/>
    <x v="6"/>
    <x v="9"/>
    <x v="81"/>
    <x v="13"/>
    <x v="2"/>
    <x v="1"/>
    <x v="4"/>
    <x v="1"/>
    <x v="0"/>
  </r>
  <r>
    <x v="5"/>
    <x v="1"/>
    <x v="13"/>
    <x v="2"/>
    <x v="5"/>
    <x v="4"/>
    <x v="22"/>
    <x v="5"/>
    <x v="2"/>
    <x v="2"/>
    <x v="3"/>
    <x v="5"/>
    <x v="0"/>
  </r>
  <r>
    <x v="4"/>
    <x v="0"/>
    <x v="5"/>
    <x v="2"/>
    <x v="12"/>
    <x v="5"/>
    <x v="122"/>
    <x v="4"/>
    <x v="0"/>
    <x v="1"/>
    <x v="2"/>
    <x v="8"/>
    <x v="0"/>
  </r>
  <r>
    <x v="3"/>
    <x v="0"/>
    <x v="34"/>
    <x v="2"/>
    <x v="37"/>
    <x v="6"/>
    <x v="9"/>
    <x v="10"/>
    <x v="2"/>
    <x v="6"/>
    <x v="3"/>
    <x v="1"/>
    <x v="0"/>
  </r>
  <r>
    <x v="4"/>
    <x v="1"/>
    <x v="1"/>
    <x v="2"/>
    <x v="31"/>
    <x v="0"/>
    <x v="104"/>
    <x v="19"/>
    <x v="0"/>
    <x v="6"/>
    <x v="9"/>
    <x v="2"/>
    <x v="0"/>
  </r>
  <r>
    <x v="2"/>
    <x v="0"/>
    <x v="55"/>
    <x v="0"/>
    <x v="27"/>
    <x v="24"/>
    <x v="133"/>
    <x v="19"/>
    <x v="0"/>
    <x v="0"/>
    <x v="6"/>
    <x v="3"/>
    <x v="0"/>
  </r>
  <r>
    <x v="4"/>
    <x v="1"/>
    <x v="40"/>
    <x v="2"/>
    <x v="25"/>
    <x v="20"/>
    <x v="69"/>
    <x v="3"/>
    <x v="1"/>
    <x v="2"/>
    <x v="0"/>
    <x v="5"/>
    <x v="0"/>
  </r>
  <r>
    <x v="2"/>
    <x v="1"/>
    <x v="43"/>
    <x v="2"/>
    <x v="19"/>
    <x v="5"/>
    <x v="0"/>
    <x v="5"/>
    <x v="2"/>
    <x v="2"/>
    <x v="1"/>
    <x v="9"/>
    <x v="0"/>
  </r>
  <r>
    <x v="3"/>
    <x v="1"/>
    <x v="40"/>
    <x v="2"/>
    <x v="19"/>
    <x v="9"/>
    <x v="169"/>
    <x v="11"/>
    <x v="1"/>
    <x v="5"/>
    <x v="5"/>
    <x v="8"/>
    <x v="0"/>
  </r>
  <r>
    <x v="5"/>
    <x v="0"/>
    <x v="48"/>
    <x v="0"/>
    <x v="46"/>
    <x v="7"/>
    <x v="109"/>
    <x v="10"/>
    <x v="2"/>
    <x v="6"/>
    <x v="4"/>
    <x v="4"/>
    <x v="0"/>
  </r>
  <r>
    <x v="0"/>
    <x v="1"/>
    <x v="17"/>
    <x v="1"/>
    <x v="33"/>
    <x v="22"/>
    <x v="84"/>
    <x v="17"/>
    <x v="1"/>
    <x v="2"/>
    <x v="6"/>
    <x v="0"/>
    <x v="0"/>
  </r>
  <r>
    <x v="3"/>
    <x v="0"/>
    <x v="67"/>
    <x v="0"/>
    <x v="15"/>
    <x v="16"/>
    <x v="36"/>
    <x v="15"/>
    <x v="1"/>
    <x v="0"/>
    <x v="3"/>
    <x v="9"/>
    <x v="0"/>
  </r>
  <r>
    <x v="3"/>
    <x v="1"/>
    <x v="64"/>
    <x v="1"/>
    <x v="16"/>
    <x v="12"/>
    <x v="31"/>
    <x v="19"/>
    <x v="0"/>
    <x v="4"/>
    <x v="8"/>
    <x v="6"/>
    <x v="0"/>
  </r>
  <r>
    <x v="1"/>
    <x v="0"/>
    <x v="54"/>
    <x v="2"/>
    <x v="21"/>
    <x v="9"/>
    <x v="34"/>
    <x v="10"/>
    <x v="2"/>
    <x v="2"/>
    <x v="9"/>
    <x v="9"/>
    <x v="0"/>
  </r>
  <r>
    <x v="1"/>
    <x v="0"/>
    <x v="45"/>
    <x v="0"/>
    <x v="4"/>
    <x v="11"/>
    <x v="158"/>
    <x v="2"/>
    <x v="0"/>
    <x v="5"/>
    <x v="8"/>
    <x v="1"/>
    <x v="0"/>
  </r>
  <r>
    <x v="3"/>
    <x v="1"/>
    <x v="26"/>
    <x v="1"/>
    <x v="2"/>
    <x v="7"/>
    <x v="4"/>
    <x v="13"/>
    <x v="1"/>
    <x v="2"/>
    <x v="6"/>
    <x v="4"/>
    <x v="0"/>
  </r>
  <r>
    <x v="1"/>
    <x v="1"/>
    <x v="1"/>
    <x v="2"/>
    <x v="50"/>
    <x v="16"/>
    <x v="108"/>
    <x v="3"/>
    <x v="0"/>
    <x v="5"/>
    <x v="8"/>
    <x v="4"/>
    <x v="0"/>
  </r>
  <r>
    <x v="0"/>
    <x v="0"/>
    <x v="14"/>
    <x v="2"/>
    <x v="16"/>
    <x v="10"/>
    <x v="198"/>
    <x v="2"/>
    <x v="2"/>
    <x v="6"/>
    <x v="4"/>
    <x v="7"/>
    <x v="0"/>
  </r>
  <r>
    <x v="2"/>
    <x v="1"/>
    <x v="44"/>
    <x v="1"/>
    <x v="30"/>
    <x v="24"/>
    <x v="120"/>
    <x v="17"/>
    <x v="2"/>
    <x v="8"/>
    <x v="8"/>
    <x v="8"/>
    <x v="0"/>
  </r>
  <r>
    <x v="5"/>
    <x v="0"/>
    <x v="17"/>
    <x v="0"/>
    <x v="23"/>
    <x v="14"/>
    <x v="41"/>
    <x v="8"/>
    <x v="2"/>
    <x v="5"/>
    <x v="9"/>
    <x v="8"/>
    <x v="0"/>
  </r>
  <r>
    <x v="4"/>
    <x v="1"/>
    <x v="47"/>
    <x v="2"/>
    <x v="22"/>
    <x v="19"/>
    <x v="27"/>
    <x v="1"/>
    <x v="0"/>
    <x v="6"/>
    <x v="8"/>
    <x v="9"/>
    <x v="0"/>
  </r>
  <r>
    <x v="1"/>
    <x v="0"/>
    <x v="29"/>
    <x v="2"/>
    <x v="40"/>
    <x v="14"/>
    <x v="170"/>
    <x v="0"/>
    <x v="0"/>
    <x v="8"/>
    <x v="2"/>
    <x v="8"/>
    <x v="0"/>
  </r>
  <r>
    <x v="1"/>
    <x v="0"/>
    <x v="56"/>
    <x v="2"/>
    <x v="21"/>
    <x v="4"/>
    <x v="85"/>
    <x v="19"/>
    <x v="1"/>
    <x v="8"/>
    <x v="9"/>
    <x v="6"/>
    <x v="0"/>
  </r>
  <r>
    <x v="3"/>
    <x v="0"/>
    <x v="57"/>
    <x v="0"/>
    <x v="41"/>
    <x v="1"/>
    <x v="122"/>
    <x v="5"/>
    <x v="2"/>
    <x v="2"/>
    <x v="8"/>
    <x v="1"/>
    <x v="0"/>
  </r>
  <r>
    <x v="0"/>
    <x v="0"/>
    <x v="66"/>
    <x v="2"/>
    <x v="39"/>
    <x v="3"/>
    <x v="111"/>
    <x v="13"/>
    <x v="2"/>
    <x v="8"/>
    <x v="9"/>
    <x v="4"/>
    <x v="0"/>
  </r>
  <r>
    <x v="3"/>
    <x v="0"/>
    <x v="35"/>
    <x v="1"/>
    <x v="34"/>
    <x v="23"/>
    <x v="108"/>
    <x v="3"/>
    <x v="0"/>
    <x v="2"/>
    <x v="4"/>
    <x v="1"/>
    <x v="0"/>
  </r>
  <r>
    <x v="3"/>
    <x v="0"/>
    <x v="11"/>
    <x v="2"/>
    <x v="45"/>
    <x v="5"/>
    <x v="45"/>
    <x v="10"/>
    <x v="0"/>
    <x v="7"/>
    <x v="5"/>
    <x v="7"/>
    <x v="0"/>
  </r>
  <r>
    <x v="0"/>
    <x v="0"/>
    <x v="59"/>
    <x v="0"/>
    <x v="42"/>
    <x v="12"/>
    <x v="30"/>
    <x v="10"/>
    <x v="2"/>
    <x v="5"/>
    <x v="3"/>
    <x v="7"/>
    <x v="0"/>
  </r>
  <r>
    <x v="2"/>
    <x v="1"/>
    <x v="41"/>
    <x v="2"/>
    <x v="46"/>
    <x v="17"/>
    <x v="137"/>
    <x v="12"/>
    <x v="2"/>
    <x v="0"/>
    <x v="0"/>
    <x v="9"/>
    <x v="0"/>
  </r>
  <r>
    <x v="2"/>
    <x v="1"/>
    <x v="5"/>
    <x v="0"/>
    <x v="5"/>
    <x v="19"/>
    <x v="11"/>
    <x v="5"/>
    <x v="0"/>
    <x v="6"/>
    <x v="8"/>
    <x v="5"/>
    <x v="0"/>
  </r>
  <r>
    <x v="3"/>
    <x v="0"/>
    <x v="52"/>
    <x v="1"/>
    <x v="44"/>
    <x v="5"/>
    <x v="189"/>
    <x v="17"/>
    <x v="0"/>
    <x v="9"/>
    <x v="9"/>
    <x v="8"/>
    <x v="0"/>
  </r>
  <r>
    <x v="6"/>
    <x v="0"/>
    <x v="51"/>
    <x v="0"/>
    <x v="5"/>
    <x v="19"/>
    <x v="181"/>
    <x v="19"/>
    <x v="1"/>
    <x v="1"/>
    <x v="3"/>
    <x v="7"/>
    <x v="1"/>
  </r>
  <r>
    <x v="4"/>
    <x v="1"/>
    <x v="50"/>
    <x v="2"/>
    <x v="22"/>
    <x v="24"/>
    <x v="176"/>
    <x v="6"/>
    <x v="0"/>
    <x v="5"/>
    <x v="5"/>
    <x v="8"/>
    <x v="0"/>
  </r>
  <r>
    <x v="5"/>
    <x v="1"/>
    <x v="20"/>
    <x v="1"/>
    <x v="39"/>
    <x v="6"/>
    <x v="144"/>
    <x v="11"/>
    <x v="1"/>
    <x v="9"/>
    <x v="3"/>
    <x v="1"/>
    <x v="1"/>
  </r>
  <r>
    <x v="0"/>
    <x v="0"/>
    <x v="27"/>
    <x v="1"/>
    <x v="42"/>
    <x v="1"/>
    <x v="113"/>
    <x v="14"/>
    <x v="0"/>
    <x v="7"/>
    <x v="8"/>
    <x v="7"/>
    <x v="0"/>
  </r>
  <r>
    <x v="1"/>
    <x v="0"/>
    <x v="61"/>
    <x v="0"/>
    <x v="20"/>
    <x v="22"/>
    <x v="1"/>
    <x v="12"/>
    <x v="0"/>
    <x v="6"/>
    <x v="9"/>
    <x v="4"/>
    <x v="0"/>
  </r>
  <r>
    <x v="2"/>
    <x v="0"/>
    <x v="64"/>
    <x v="1"/>
    <x v="23"/>
    <x v="8"/>
    <x v="121"/>
    <x v="18"/>
    <x v="1"/>
    <x v="9"/>
    <x v="1"/>
    <x v="9"/>
    <x v="0"/>
  </r>
  <r>
    <x v="3"/>
    <x v="0"/>
    <x v="4"/>
    <x v="0"/>
    <x v="36"/>
    <x v="22"/>
    <x v="124"/>
    <x v="4"/>
    <x v="0"/>
    <x v="4"/>
    <x v="0"/>
    <x v="5"/>
    <x v="0"/>
  </r>
  <r>
    <x v="4"/>
    <x v="0"/>
    <x v="25"/>
    <x v="1"/>
    <x v="9"/>
    <x v="11"/>
    <x v="192"/>
    <x v="8"/>
    <x v="1"/>
    <x v="4"/>
    <x v="7"/>
    <x v="4"/>
    <x v="0"/>
  </r>
  <r>
    <x v="0"/>
    <x v="1"/>
    <x v="65"/>
    <x v="1"/>
    <x v="35"/>
    <x v="23"/>
    <x v="35"/>
    <x v="15"/>
    <x v="2"/>
    <x v="8"/>
    <x v="4"/>
    <x v="3"/>
    <x v="0"/>
  </r>
  <r>
    <x v="4"/>
    <x v="0"/>
    <x v="28"/>
    <x v="0"/>
    <x v="29"/>
    <x v="12"/>
    <x v="139"/>
    <x v="14"/>
    <x v="2"/>
    <x v="6"/>
    <x v="5"/>
    <x v="1"/>
    <x v="0"/>
  </r>
  <r>
    <x v="6"/>
    <x v="1"/>
    <x v="5"/>
    <x v="1"/>
    <x v="16"/>
    <x v="17"/>
    <x v="74"/>
    <x v="12"/>
    <x v="0"/>
    <x v="0"/>
    <x v="8"/>
    <x v="1"/>
    <x v="0"/>
  </r>
  <r>
    <x v="5"/>
    <x v="1"/>
    <x v="64"/>
    <x v="1"/>
    <x v="32"/>
    <x v="15"/>
    <x v="82"/>
    <x v="13"/>
    <x v="0"/>
    <x v="5"/>
    <x v="9"/>
    <x v="4"/>
    <x v="0"/>
  </r>
  <r>
    <x v="1"/>
    <x v="1"/>
    <x v="17"/>
    <x v="1"/>
    <x v="30"/>
    <x v="25"/>
    <x v="51"/>
    <x v="4"/>
    <x v="2"/>
    <x v="7"/>
    <x v="5"/>
    <x v="1"/>
    <x v="0"/>
  </r>
  <r>
    <x v="3"/>
    <x v="0"/>
    <x v="26"/>
    <x v="0"/>
    <x v="11"/>
    <x v="0"/>
    <x v="30"/>
    <x v="1"/>
    <x v="2"/>
    <x v="5"/>
    <x v="0"/>
    <x v="3"/>
    <x v="0"/>
  </r>
  <r>
    <x v="6"/>
    <x v="0"/>
    <x v="14"/>
    <x v="2"/>
    <x v="42"/>
    <x v="10"/>
    <x v="51"/>
    <x v="7"/>
    <x v="2"/>
    <x v="7"/>
    <x v="8"/>
    <x v="7"/>
    <x v="0"/>
  </r>
  <r>
    <x v="3"/>
    <x v="0"/>
    <x v="50"/>
    <x v="0"/>
    <x v="21"/>
    <x v="24"/>
    <x v="98"/>
    <x v="0"/>
    <x v="1"/>
    <x v="4"/>
    <x v="9"/>
    <x v="0"/>
    <x v="0"/>
  </r>
  <r>
    <x v="1"/>
    <x v="1"/>
    <x v="32"/>
    <x v="2"/>
    <x v="0"/>
    <x v="6"/>
    <x v="33"/>
    <x v="19"/>
    <x v="2"/>
    <x v="8"/>
    <x v="6"/>
    <x v="5"/>
    <x v="0"/>
  </r>
  <r>
    <x v="5"/>
    <x v="0"/>
    <x v="23"/>
    <x v="0"/>
    <x v="36"/>
    <x v="14"/>
    <x v="54"/>
    <x v="7"/>
    <x v="2"/>
    <x v="8"/>
    <x v="3"/>
    <x v="1"/>
    <x v="0"/>
  </r>
  <r>
    <x v="1"/>
    <x v="0"/>
    <x v="5"/>
    <x v="1"/>
    <x v="20"/>
    <x v="13"/>
    <x v="188"/>
    <x v="8"/>
    <x v="0"/>
    <x v="6"/>
    <x v="2"/>
    <x v="7"/>
    <x v="0"/>
  </r>
  <r>
    <x v="5"/>
    <x v="1"/>
    <x v="51"/>
    <x v="0"/>
    <x v="10"/>
    <x v="0"/>
    <x v="96"/>
    <x v="9"/>
    <x v="2"/>
    <x v="5"/>
    <x v="3"/>
    <x v="8"/>
    <x v="0"/>
  </r>
  <r>
    <x v="1"/>
    <x v="1"/>
    <x v="40"/>
    <x v="2"/>
    <x v="47"/>
    <x v="5"/>
    <x v="136"/>
    <x v="4"/>
    <x v="1"/>
    <x v="3"/>
    <x v="0"/>
    <x v="6"/>
    <x v="0"/>
  </r>
  <r>
    <x v="5"/>
    <x v="1"/>
    <x v="35"/>
    <x v="1"/>
    <x v="15"/>
    <x v="23"/>
    <x v="26"/>
    <x v="15"/>
    <x v="2"/>
    <x v="6"/>
    <x v="4"/>
    <x v="1"/>
    <x v="0"/>
  </r>
  <r>
    <x v="2"/>
    <x v="0"/>
    <x v="9"/>
    <x v="0"/>
    <x v="6"/>
    <x v="7"/>
    <x v="24"/>
    <x v="13"/>
    <x v="2"/>
    <x v="4"/>
    <x v="0"/>
    <x v="1"/>
    <x v="0"/>
  </r>
  <r>
    <x v="0"/>
    <x v="0"/>
    <x v="18"/>
    <x v="2"/>
    <x v="9"/>
    <x v="3"/>
    <x v="81"/>
    <x v="4"/>
    <x v="2"/>
    <x v="2"/>
    <x v="2"/>
    <x v="6"/>
    <x v="0"/>
  </r>
  <r>
    <x v="4"/>
    <x v="0"/>
    <x v="5"/>
    <x v="1"/>
    <x v="17"/>
    <x v="21"/>
    <x v="167"/>
    <x v="5"/>
    <x v="2"/>
    <x v="8"/>
    <x v="4"/>
    <x v="1"/>
    <x v="0"/>
  </r>
  <r>
    <x v="5"/>
    <x v="0"/>
    <x v="29"/>
    <x v="2"/>
    <x v="44"/>
    <x v="16"/>
    <x v="35"/>
    <x v="13"/>
    <x v="0"/>
    <x v="1"/>
    <x v="9"/>
    <x v="2"/>
    <x v="0"/>
  </r>
  <r>
    <x v="1"/>
    <x v="0"/>
    <x v="3"/>
    <x v="1"/>
    <x v="15"/>
    <x v="9"/>
    <x v="23"/>
    <x v="16"/>
    <x v="1"/>
    <x v="6"/>
    <x v="2"/>
    <x v="0"/>
    <x v="0"/>
  </r>
  <r>
    <x v="5"/>
    <x v="1"/>
    <x v="56"/>
    <x v="0"/>
    <x v="30"/>
    <x v="18"/>
    <x v="89"/>
    <x v="17"/>
    <x v="1"/>
    <x v="4"/>
    <x v="7"/>
    <x v="2"/>
    <x v="0"/>
  </r>
  <r>
    <x v="1"/>
    <x v="0"/>
    <x v="56"/>
    <x v="1"/>
    <x v="16"/>
    <x v="21"/>
    <x v="179"/>
    <x v="19"/>
    <x v="2"/>
    <x v="9"/>
    <x v="8"/>
    <x v="4"/>
    <x v="0"/>
  </r>
  <r>
    <x v="5"/>
    <x v="0"/>
    <x v="47"/>
    <x v="0"/>
    <x v="4"/>
    <x v="22"/>
    <x v="27"/>
    <x v="3"/>
    <x v="2"/>
    <x v="3"/>
    <x v="6"/>
    <x v="8"/>
    <x v="0"/>
  </r>
  <r>
    <x v="4"/>
    <x v="0"/>
    <x v="11"/>
    <x v="2"/>
    <x v="44"/>
    <x v="16"/>
    <x v="24"/>
    <x v="11"/>
    <x v="1"/>
    <x v="8"/>
    <x v="1"/>
    <x v="7"/>
    <x v="0"/>
  </r>
  <r>
    <x v="4"/>
    <x v="0"/>
    <x v="0"/>
    <x v="0"/>
    <x v="29"/>
    <x v="17"/>
    <x v="112"/>
    <x v="3"/>
    <x v="1"/>
    <x v="6"/>
    <x v="0"/>
    <x v="6"/>
    <x v="0"/>
  </r>
  <r>
    <x v="3"/>
    <x v="0"/>
    <x v="60"/>
    <x v="2"/>
    <x v="41"/>
    <x v="0"/>
    <x v="157"/>
    <x v="17"/>
    <x v="1"/>
    <x v="2"/>
    <x v="7"/>
    <x v="8"/>
    <x v="0"/>
  </r>
  <r>
    <x v="4"/>
    <x v="0"/>
    <x v="61"/>
    <x v="1"/>
    <x v="9"/>
    <x v="20"/>
    <x v="38"/>
    <x v="18"/>
    <x v="0"/>
    <x v="0"/>
    <x v="4"/>
    <x v="6"/>
    <x v="0"/>
  </r>
  <r>
    <x v="5"/>
    <x v="1"/>
    <x v="63"/>
    <x v="2"/>
    <x v="12"/>
    <x v="20"/>
    <x v="199"/>
    <x v="3"/>
    <x v="0"/>
    <x v="6"/>
    <x v="6"/>
    <x v="4"/>
    <x v="0"/>
  </r>
  <r>
    <x v="1"/>
    <x v="0"/>
    <x v="30"/>
    <x v="1"/>
    <x v="12"/>
    <x v="12"/>
    <x v="50"/>
    <x v="8"/>
    <x v="0"/>
    <x v="6"/>
    <x v="8"/>
    <x v="0"/>
    <x v="0"/>
  </r>
  <r>
    <x v="6"/>
    <x v="0"/>
    <x v="2"/>
    <x v="0"/>
    <x v="12"/>
    <x v="9"/>
    <x v="196"/>
    <x v="6"/>
    <x v="0"/>
    <x v="8"/>
    <x v="4"/>
    <x v="1"/>
    <x v="0"/>
  </r>
  <r>
    <x v="2"/>
    <x v="0"/>
    <x v="49"/>
    <x v="1"/>
    <x v="31"/>
    <x v="0"/>
    <x v="87"/>
    <x v="4"/>
    <x v="2"/>
    <x v="6"/>
    <x v="0"/>
    <x v="3"/>
    <x v="0"/>
  </r>
  <r>
    <x v="1"/>
    <x v="1"/>
    <x v="6"/>
    <x v="0"/>
    <x v="36"/>
    <x v="12"/>
    <x v="192"/>
    <x v="6"/>
    <x v="0"/>
    <x v="5"/>
    <x v="9"/>
    <x v="1"/>
    <x v="0"/>
  </r>
  <r>
    <x v="2"/>
    <x v="1"/>
    <x v="60"/>
    <x v="0"/>
    <x v="23"/>
    <x v="13"/>
    <x v="28"/>
    <x v="8"/>
    <x v="2"/>
    <x v="7"/>
    <x v="6"/>
    <x v="0"/>
    <x v="0"/>
  </r>
  <r>
    <x v="1"/>
    <x v="0"/>
    <x v="55"/>
    <x v="1"/>
    <x v="0"/>
    <x v="8"/>
    <x v="190"/>
    <x v="12"/>
    <x v="0"/>
    <x v="9"/>
    <x v="2"/>
    <x v="7"/>
    <x v="0"/>
  </r>
  <r>
    <x v="2"/>
    <x v="0"/>
    <x v="33"/>
    <x v="0"/>
    <x v="10"/>
    <x v="4"/>
    <x v="74"/>
    <x v="6"/>
    <x v="1"/>
    <x v="8"/>
    <x v="8"/>
    <x v="3"/>
    <x v="0"/>
  </r>
  <r>
    <x v="6"/>
    <x v="0"/>
    <x v="27"/>
    <x v="2"/>
    <x v="26"/>
    <x v="24"/>
    <x v="13"/>
    <x v="0"/>
    <x v="0"/>
    <x v="3"/>
    <x v="6"/>
    <x v="9"/>
    <x v="0"/>
  </r>
  <r>
    <x v="1"/>
    <x v="1"/>
    <x v="3"/>
    <x v="2"/>
    <x v="49"/>
    <x v="12"/>
    <x v="71"/>
    <x v="14"/>
    <x v="0"/>
    <x v="4"/>
    <x v="7"/>
    <x v="8"/>
    <x v="0"/>
  </r>
  <r>
    <x v="5"/>
    <x v="0"/>
    <x v="61"/>
    <x v="1"/>
    <x v="16"/>
    <x v="10"/>
    <x v="68"/>
    <x v="7"/>
    <x v="0"/>
    <x v="7"/>
    <x v="5"/>
    <x v="6"/>
    <x v="0"/>
  </r>
  <r>
    <x v="6"/>
    <x v="1"/>
    <x v="3"/>
    <x v="2"/>
    <x v="18"/>
    <x v="19"/>
    <x v="156"/>
    <x v="0"/>
    <x v="0"/>
    <x v="7"/>
    <x v="1"/>
    <x v="0"/>
    <x v="0"/>
  </r>
  <r>
    <x v="5"/>
    <x v="0"/>
    <x v="35"/>
    <x v="2"/>
    <x v="5"/>
    <x v="6"/>
    <x v="109"/>
    <x v="1"/>
    <x v="1"/>
    <x v="0"/>
    <x v="5"/>
    <x v="7"/>
    <x v="0"/>
  </r>
  <r>
    <x v="0"/>
    <x v="0"/>
    <x v="49"/>
    <x v="0"/>
    <x v="32"/>
    <x v="2"/>
    <x v="109"/>
    <x v="15"/>
    <x v="2"/>
    <x v="9"/>
    <x v="0"/>
    <x v="4"/>
    <x v="0"/>
  </r>
  <r>
    <x v="2"/>
    <x v="0"/>
    <x v="29"/>
    <x v="1"/>
    <x v="41"/>
    <x v="5"/>
    <x v="67"/>
    <x v="17"/>
    <x v="1"/>
    <x v="5"/>
    <x v="6"/>
    <x v="4"/>
    <x v="0"/>
  </r>
  <r>
    <x v="0"/>
    <x v="0"/>
    <x v="41"/>
    <x v="2"/>
    <x v="2"/>
    <x v="17"/>
    <x v="98"/>
    <x v="5"/>
    <x v="2"/>
    <x v="3"/>
    <x v="1"/>
    <x v="2"/>
    <x v="0"/>
  </r>
  <r>
    <x v="1"/>
    <x v="0"/>
    <x v="4"/>
    <x v="2"/>
    <x v="19"/>
    <x v="19"/>
    <x v="200"/>
    <x v="10"/>
    <x v="0"/>
    <x v="6"/>
    <x v="5"/>
    <x v="9"/>
    <x v="0"/>
  </r>
  <r>
    <x v="1"/>
    <x v="0"/>
    <x v="7"/>
    <x v="1"/>
    <x v="33"/>
    <x v="15"/>
    <x v="11"/>
    <x v="12"/>
    <x v="2"/>
    <x v="4"/>
    <x v="0"/>
    <x v="3"/>
    <x v="0"/>
  </r>
  <r>
    <x v="5"/>
    <x v="1"/>
    <x v="42"/>
    <x v="0"/>
    <x v="9"/>
    <x v="11"/>
    <x v="44"/>
    <x v="12"/>
    <x v="1"/>
    <x v="7"/>
    <x v="6"/>
    <x v="1"/>
    <x v="1"/>
  </r>
  <r>
    <x v="3"/>
    <x v="0"/>
    <x v="45"/>
    <x v="0"/>
    <x v="7"/>
    <x v="6"/>
    <x v="157"/>
    <x v="14"/>
    <x v="1"/>
    <x v="2"/>
    <x v="8"/>
    <x v="5"/>
    <x v="0"/>
  </r>
  <r>
    <x v="6"/>
    <x v="1"/>
    <x v="33"/>
    <x v="2"/>
    <x v="27"/>
    <x v="23"/>
    <x v="33"/>
    <x v="1"/>
    <x v="1"/>
    <x v="0"/>
    <x v="4"/>
    <x v="5"/>
    <x v="0"/>
  </r>
  <r>
    <x v="3"/>
    <x v="1"/>
    <x v="7"/>
    <x v="0"/>
    <x v="35"/>
    <x v="18"/>
    <x v="151"/>
    <x v="11"/>
    <x v="2"/>
    <x v="9"/>
    <x v="8"/>
    <x v="4"/>
    <x v="0"/>
  </r>
  <r>
    <x v="3"/>
    <x v="1"/>
    <x v="32"/>
    <x v="2"/>
    <x v="2"/>
    <x v="13"/>
    <x v="29"/>
    <x v="1"/>
    <x v="2"/>
    <x v="1"/>
    <x v="3"/>
    <x v="5"/>
    <x v="0"/>
  </r>
  <r>
    <x v="2"/>
    <x v="0"/>
    <x v="60"/>
    <x v="2"/>
    <x v="4"/>
    <x v="11"/>
    <x v="55"/>
    <x v="1"/>
    <x v="0"/>
    <x v="6"/>
    <x v="1"/>
    <x v="3"/>
    <x v="0"/>
  </r>
  <r>
    <x v="2"/>
    <x v="0"/>
    <x v="65"/>
    <x v="2"/>
    <x v="37"/>
    <x v="10"/>
    <x v="173"/>
    <x v="7"/>
    <x v="1"/>
    <x v="9"/>
    <x v="3"/>
    <x v="1"/>
    <x v="0"/>
  </r>
  <r>
    <x v="4"/>
    <x v="0"/>
    <x v="14"/>
    <x v="2"/>
    <x v="21"/>
    <x v="0"/>
    <x v="79"/>
    <x v="4"/>
    <x v="1"/>
    <x v="5"/>
    <x v="6"/>
    <x v="6"/>
    <x v="0"/>
  </r>
  <r>
    <x v="2"/>
    <x v="0"/>
    <x v="32"/>
    <x v="2"/>
    <x v="33"/>
    <x v="6"/>
    <x v="146"/>
    <x v="9"/>
    <x v="0"/>
    <x v="3"/>
    <x v="9"/>
    <x v="4"/>
    <x v="0"/>
  </r>
  <r>
    <x v="0"/>
    <x v="0"/>
    <x v="66"/>
    <x v="2"/>
    <x v="50"/>
    <x v="15"/>
    <x v="123"/>
    <x v="19"/>
    <x v="0"/>
    <x v="3"/>
    <x v="5"/>
    <x v="8"/>
    <x v="0"/>
  </r>
  <r>
    <x v="3"/>
    <x v="0"/>
    <x v="17"/>
    <x v="2"/>
    <x v="0"/>
    <x v="23"/>
    <x v="162"/>
    <x v="3"/>
    <x v="0"/>
    <x v="3"/>
    <x v="3"/>
    <x v="6"/>
    <x v="0"/>
  </r>
  <r>
    <x v="5"/>
    <x v="1"/>
    <x v="5"/>
    <x v="1"/>
    <x v="48"/>
    <x v="15"/>
    <x v="122"/>
    <x v="0"/>
    <x v="1"/>
    <x v="6"/>
    <x v="2"/>
    <x v="1"/>
    <x v="0"/>
  </r>
  <r>
    <x v="2"/>
    <x v="0"/>
    <x v="29"/>
    <x v="1"/>
    <x v="21"/>
    <x v="2"/>
    <x v="199"/>
    <x v="6"/>
    <x v="0"/>
    <x v="3"/>
    <x v="6"/>
    <x v="6"/>
    <x v="0"/>
  </r>
  <r>
    <x v="4"/>
    <x v="1"/>
    <x v="31"/>
    <x v="2"/>
    <x v="7"/>
    <x v="9"/>
    <x v="170"/>
    <x v="11"/>
    <x v="1"/>
    <x v="7"/>
    <x v="7"/>
    <x v="6"/>
    <x v="1"/>
  </r>
  <r>
    <x v="5"/>
    <x v="1"/>
    <x v="24"/>
    <x v="0"/>
    <x v="15"/>
    <x v="25"/>
    <x v="27"/>
    <x v="17"/>
    <x v="0"/>
    <x v="7"/>
    <x v="6"/>
    <x v="2"/>
    <x v="0"/>
  </r>
  <r>
    <x v="0"/>
    <x v="1"/>
    <x v="35"/>
    <x v="2"/>
    <x v="12"/>
    <x v="4"/>
    <x v="176"/>
    <x v="7"/>
    <x v="0"/>
    <x v="1"/>
    <x v="2"/>
    <x v="1"/>
    <x v="0"/>
  </r>
  <r>
    <x v="0"/>
    <x v="1"/>
    <x v="22"/>
    <x v="1"/>
    <x v="32"/>
    <x v="17"/>
    <x v="103"/>
    <x v="5"/>
    <x v="0"/>
    <x v="8"/>
    <x v="4"/>
    <x v="2"/>
    <x v="0"/>
  </r>
  <r>
    <x v="6"/>
    <x v="0"/>
    <x v="62"/>
    <x v="0"/>
    <x v="39"/>
    <x v="10"/>
    <x v="64"/>
    <x v="8"/>
    <x v="2"/>
    <x v="6"/>
    <x v="9"/>
    <x v="2"/>
    <x v="0"/>
  </r>
  <r>
    <x v="1"/>
    <x v="1"/>
    <x v="3"/>
    <x v="0"/>
    <x v="8"/>
    <x v="19"/>
    <x v="170"/>
    <x v="9"/>
    <x v="0"/>
    <x v="2"/>
    <x v="8"/>
    <x v="7"/>
    <x v="0"/>
  </r>
  <r>
    <x v="3"/>
    <x v="1"/>
    <x v="28"/>
    <x v="1"/>
    <x v="14"/>
    <x v="3"/>
    <x v="112"/>
    <x v="18"/>
    <x v="0"/>
    <x v="2"/>
    <x v="6"/>
    <x v="4"/>
    <x v="0"/>
  </r>
  <r>
    <x v="2"/>
    <x v="0"/>
    <x v="32"/>
    <x v="0"/>
    <x v="9"/>
    <x v="0"/>
    <x v="165"/>
    <x v="7"/>
    <x v="2"/>
    <x v="4"/>
    <x v="0"/>
    <x v="3"/>
    <x v="0"/>
  </r>
  <r>
    <x v="2"/>
    <x v="1"/>
    <x v="36"/>
    <x v="1"/>
    <x v="34"/>
    <x v="16"/>
    <x v="65"/>
    <x v="15"/>
    <x v="0"/>
    <x v="2"/>
    <x v="8"/>
    <x v="6"/>
    <x v="0"/>
  </r>
  <r>
    <x v="1"/>
    <x v="0"/>
    <x v="20"/>
    <x v="1"/>
    <x v="38"/>
    <x v="11"/>
    <x v="16"/>
    <x v="14"/>
    <x v="2"/>
    <x v="8"/>
    <x v="2"/>
    <x v="8"/>
    <x v="0"/>
  </r>
  <r>
    <x v="2"/>
    <x v="1"/>
    <x v="8"/>
    <x v="1"/>
    <x v="36"/>
    <x v="0"/>
    <x v="20"/>
    <x v="19"/>
    <x v="1"/>
    <x v="4"/>
    <x v="0"/>
    <x v="5"/>
    <x v="0"/>
  </r>
  <r>
    <x v="3"/>
    <x v="1"/>
    <x v="44"/>
    <x v="2"/>
    <x v="47"/>
    <x v="20"/>
    <x v="84"/>
    <x v="12"/>
    <x v="2"/>
    <x v="6"/>
    <x v="4"/>
    <x v="8"/>
    <x v="0"/>
  </r>
  <r>
    <x v="3"/>
    <x v="0"/>
    <x v="13"/>
    <x v="0"/>
    <x v="30"/>
    <x v="14"/>
    <x v="65"/>
    <x v="8"/>
    <x v="2"/>
    <x v="5"/>
    <x v="3"/>
    <x v="6"/>
    <x v="0"/>
  </r>
  <r>
    <x v="1"/>
    <x v="0"/>
    <x v="13"/>
    <x v="0"/>
    <x v="35"/>
    <x v="9"/>
    <x v="44"/>
    <x v="8"/>
    <x v="0"/>
    <x v="5"/>
    <x v="7"/>
    <x v="1"/>
    <x v="0"/>
  </r>
  <r>
    <x v="3"/>
    <x v="1"/>
    <x v="47"/>
    <x v="0"/>
    <x v="24"/>
    <x v="2"/>
    <x v="11"/>
    <x v="6"/>
    <x v="2"/>
    <x v="4"/>
    <x v="4"/>
    <x v="3"/>
    <x v="0"/>
  </r>
  <r>
    <x v="0"/>
    <x v="1"/>
    <x v="47"/>
    <x v="0"/>
    <x v="2"/>
    <x v="15"/>
    <x v="33"/>
    <x v="8"/>
    <x v="1"/>
    <x v="7"/>
    <x v="1"/>
    <x v="9"/>
    <x v="0"/>
  </r>
  <r>
    <x v="3"/>
    <x v="1"/>
    <x v="3"/>
    <x v="2"/>
    <x v="38"/>
    <x v="13"/>
    <x v="178"/>
    <x v="1"/>
    <x v="1"/>
    <x v="8"/>
    <x v="7"/>
    <x v="6"/>
    <x v="0"/>
  </r>
  <r>
    <x v="3"/>
    <x v="0"/>
    <x v="29"/>
    <x v="2"/>
    <x v="39"/>
    <x v="21"/>
    <x v="114"/>
    <x v="2"/>
    <x v="2"/>
    <x v="6"/>
    <x v="1"/>
    <x v="6"/>
    <x v="0"/>
  </r>
  <r>
    <x v="4"/>
    <x v="0"/>
    <x v="22"/>
    <x v="2"/>
    <x v="16"/>
    <x v="14"/>
    <x v="184"/>
    <x v="0"/>
    <x v="1"/>
    <x v="8"/>
    <x v="5"/>
    <x v="7"/>
    <x v="0"/>
  </r>
  <r>
    <x v="3"/>
    <x v="0"/>
    <x v="45"/>
    <x v="1"/>
    <x v="42"/>
    <x v="11"/>
    <x v="44"/>
    <x v="0"/>
    <x v="0"/>
    <x v="9"/>
    <x v="7"/>
    <x v="1"/>
    <x v="1"/>
  </r>
  <r>
    <x v="2"/>
    <x v="1"/>
    <x v="35"/>
    <x v="2"/>
    <x v="33"/>
    <x v="21"/>
    <x v="15"/>
    <x v="6"/>
    <x v="2"/>
    <x v="1"/>
    <x v="6"/>
    <x v="2"/>
    <x v="0"/>
  </r>
  <r>
    <x v="4"/>
    <x v="1"/>
    <x v="58"/>
    <x v="0"/>
    <x v="8"/>
    <x v="19"/>
    <x v="58"/>
    <x v="9"/>
    <x v="2"/>
    <x v="2"/>
    <x v="5"/>
    <x v="4"/>
    <x v="0"/>
  </r>
  <r>
    <x v="6"/>
    <x v="1"/>
    <x v="7"/>
    <x v="2"/>
    <x v="0"/>
    <x v="16"/>
    <x v="22"/>
    <x v="18"/>
    <x v="2"/>
    <x v="6"/>
    <x v="5"/>
    <x v="8"/>
    <x v="0"/>
  </r>
  <r>
    <x v="1"/>
    <x v="0"/>
    <x v="69"/>
    <x v="1"/>
    <x v="31"/>
    <x v="23"/>
    <x v="55"/>
    <x v="3"/>
    <x v="0"/>
    <x v="0"/>
    <x v="9"/>
    <x v="4"/>
    <x v="0"/>
  </r>
  <r>
    <x v="3"/>
    <x v="0"/>
    <x v="55"/>
    <x v="2"/>
    <x v="49"/>
    <x v="8"/>
    <x v="102"/>
    <x v="20"/>
    <x v="2"/>
    <x v="2"/>
    <x v="0"/>
    <x v="2"/>
    <x v="0"/>
  </r>
  <r>
    <x v="2"/>
    <x v="0"/>
    <x v="12"/>
    <x v="1"/>
    <x v="19"/>
    <x v="19"/>
    <x v="198"/>
    <x v="10"/>
    <x v="0"/>
    <x v="2"/>
    <x v="7"/>
    <x v="7"/>
    <x v="0"/>
  </r>
  <r>
    <x v="6"/>
    <x v="1"/>
    <x v="4"/>
    <x v="1"/>
    <x v="1"/>
    <x v="9"/>
    <x v="4"/>
    <x v="18"/>
    <x v="0"/>
    <x v="5"/>
    <x v="5"/>
    <x v="8"/>
    <x v="0"/>
  </r>
  <r>
    <x v="2"/>
    <x v="1"/>
    <x v="6"/>
    <x v="0"/>
    <x v="18"/>
    <x v="11"/>
    <x v="110"/>
    <x v="0"/>
    <x v="1"/>
    <x v="8"/>
    <x v="6"/>
    <x v="5"/>
    <x v="0"/>
  </r>
  <r>
    <x v="5"/>
    <x v="0"/>
    <x v="20"/>
    <x v="1"/>
    <x v="16"/>
    <x v="24"/>
    <x v="62"/>
    <x v="0"/>
    <x v="0"/>
    <x v="5"/>
    <x v="6"/>
    <x v="9"/>
    <x v="0"/>
  </r>
  <r>
    <x v="2"/>
    <x v="0"/>
    <x v="55"/>
    <x v="0"/>
    <x v="10"/>
    <x v="15"/>
    <x v="76"/>
    <x v="3"/>
    <x v="1"/>
    <x v="0"/>
    <x v="0"/>
    <x v="5"/>
    <x v="0"/>
  </r>
  <r>
    <x v="5"/>
    <x v="1"/>
    <x v="54"/>
    <x v="2"/>
    <x v="29"/>
    <x v="4"/>
    <x v="68"/>
    <x v="8"/>
    <x v="1"/>
    <x v="2"/>
    <x v="8"/>
    <x v="9"/>
    <x v="0"/>
  </r>
  <r>
    <x v="3"/>
    <x v="0"/>
    <x v="67"/>
    <x v="2"/>
    <x v="34"/>
    <x v="18"/>
    <x v="5"/>
    <x v="10"/>
    <x v="0"/>
    <x v="7"/>
    <x v="0"/>
    <x v="8"/>
    <x v="0"/>
  </r>
  <r>
    <x v="4"/>
    <x v="0"/>
    <x v="39"/>
    <x v="1"/>
    <x v="38"/>
    <x v="5"/>
    <x v="101"/>
    <x v="18"/>
    <x v="0"/>
    <x v="2"/>
    <x v="5"/>
    <x v="7"/>
    <x v="0"/>
  </r>
  <r>
    <x v="1"/>
    <x v="1"/>
    <x v="41"/>
    <x v="1"/>
    <x v="34"/>
    <x v="23"/>
    <x v="103"/>
    <x v="19"/>
    <x v="1"/>
    <x v="3"/>
    <x v="0"/>
    <x v="8"/>
    <x v="0"/>
  </r>
  <r>
    <x v="0"/>
    <x v="0"/>
    <x v="20"/>
    <x v="0"/>
    <x v="16"/>
    <x v="0"/>
    <x v="177"/>
    <x v="1"/>
    <x v="2"/>
    <x v="7"/>
    <x v="1"/>
    <x v="8"/>
    <x v="0"/>
  </r>
  <r>
    <x v="0"/>
    <x v="1"/>
    <x v="59"/>
    <x v="0"/>
    <x v="3"/>
    <x v="5"/>
    <x v="37"/>
    <x v="8"/>
    <x v="1"/>
    <x v="7"/>
    <x v="9"/>
    <x v="8"/>
    <x v="0"/>
  </r>
  <r>
    <x v="5"/>
    <x v="1"/>
    <x v="56"/>
    <x v="2"/>
    <x v="17"/>
    <x v="19"/>
    <x v="63"/>
    <x v="17"/>
    <x v="1"/>
    <x v="5"/>
    <x v="2"/>
    <x v="6"/>
    <x v="0"/>
  </r>
  <r>
    <x v="4"/>
    <x v="1"/>
    <x v="32"/>
    <x v="2"/>
    <x v="23"/>
    <x v="17"/>
    <x v="46"/>
    <x v="14"/>
    <x v="0"/>
    <x v="2"/>
    <x v="6"/>
    <x v="0"/>
    <x v="0"/>
  </r>
  <r>
    <x v="2"/>
    <x v="1"/>
    <x v="44"/>
    <x v="0"/>
    <x v="35"/>
    <x v="6"/>
    <x v="164"/>
    <x v="18"/>
    <x v="1"/>
    <x v="1"/>
    <x v="8"/>
    <x v="0"/>
    <x v="0"/>
  </r>
  <r>
    <x v="2"/>
    <x v="0"/>
    <x v="45"/>
    <x v="2"/>
    <x v="4"/>
    <x v="6"/>
    <x v="72"/>
    <x v="2"/>
    <x v="2"/>
    <x v="0"/>
    <x v="0"/>
    <x v="0"/>
    <x v="0"/>
  </r>
  <r>
    <x v="3"/>
    <x v="0"/>
    <x v="42"/>
    <x v="0"/>
    <x v="50"/>
    <x v="11"/>
    <x v="4"/>
    <x v="18"/>
    <x v="0"/>
    <x v="3"/>
    <x v="1"/>
    <x v="6"/>
    <x v="0"/>
  </r>
  <r>
    <x v="1"/>
    <x v="1"/>
    <x v="58"/>
    <x v="0"/>
    <x v="24"/>
    <x v="5"/>
    <x v="16"/>
    <x v="5"/>
    <x v="0"/>
    <x v="8"/>
    <x v="9"/>
    <x v="5"/>
    <x v="0"/>
  </r>
  <r>
    <x v="4"/>
    <x v="0"/>
    <x v="2"/>
    <x v="0"/>
    <x v="34"/>
    <x v="22"/>
    <x v="139"/>
    <x v="19"/>
    <x v="0"/>
    <x v="0"/>
    <x v="3"/>
    <x v="7"/>
    <x v="0"/>
  </r>
  <r>
    <x v="3"/>
    <x v="0"/>
    <x v="10"/>
    <x v="2"/>
    <x v="6"/>
    <x v="12"/>
    <x v="155"/>
    <x v="7"/>
    <x v="1"/>
    <x v="1"/>
    <x v="7"/>
    <x v="3"/>
    <x v="0"/>
  </r>
  <r>
    <x v="3"/>
    <x v="0"/>
    <x v="13"/>
    <x v="0"/>
    <x v="24"/>
    <x v="15"/>
    <x v="163"/>
    <x v="13"/>
    <x v="0"/>
    <x v="2"/>
    <x v="2"/>
    <x v="3"/>
    <x v="0"/>
  </r>
  <r>
    <x v="4"/>
    <x v="1"/>
    <x v="52"/>
    <x v="2"/>
    <x v="18"/>
    <x v="7"/>
    <x v="88"/>
    <x v="15"/>
    <x v="1"/>
    <x v="8"/>
    <x v="3"/>
    <x v="4"/>
    <x v="0"/>
  </r>
  <r>
    <x v="2"/>
    <x v="1"/>
    <x v="20"/>
    <x v="0"/>
    <x v="45"/>
    <x v="11"/>
    <x v="152"/>
    <x v="15"/>
    <x v="1"/>
    <x v="3"/>
    <x v="3"/>
    <x v="0"/>
    <x v="0"/>
  </r>
  <r>
    <x v="5"/>
    <x v="0"/>
    <x v="28"/>
    <x v="2"/>
    <x v="14"/>
    <x v="18"/>
    <x v="191"/>
    <x v="12"/>
    <x v="2"/>
    <x v="3"/>
    <x v="6"/>
    <x v="7"/>
    <x v="0"/>
  </r>
  <r>
    <x v="4"/>
    <x v="0"/>
    <x v="51"/>
    <x v="2"/>
    <x v="45"/>
    <x v="2"/>
    <x v="94"/>
    <x v="13"/>
    <x v="1"/>
    <x v="3"/>
    <x v="9"/>
    <x v="3"/>
    <x v="0"/>
  </r>
  <r>
    <x v="1"/>
    <x v="0"/>
    <x v="38"/>
    <x v="1"/>
    <x v="38"/>
    <x v="20"/>
    <x v="148"/>
    <x v="6"/>
    <x v="2"/>
    <x v="2"/>
    <x v="8"/>
    <x v="7"/>
    <x v="0"/>
  </r>
  <r>
    <x v="5"/>
    <x v="0"/>
    <x v="40"/>
    <x v="1"/>
    <x v="40"/>
    <x v="5"/>
    <x v="43"/>
    <x v="7"/>
    <x v="0"/>
    <x v="6"/>
    <x v="9"/>
    <x v="2"/>
    <x v="0"/>
  </r>
  <r>
    <x v="1"/>
    <x v="1"/>
    <x v="41"/>
    <x v="1"/>
    <x v="26"/>
    <x v="16"/>
    <x v="190"/>
    <x v="16"/>
    <x v="1"/>
    <x v="8"/>
    <x v="6"/>
    <x v="6"/>
    <x v="0"/>
  </r>
  <r>
    <x v="4"/>
    <x v="0"/>
    <x v="37"/>
    <x v="1"/>
    <x v="40"/>
    <x v="21"/>
    <x v="44"/>
    <x v="3"/>
    <x v="2"/>
    <x v="6"/>
    <x v="2"/>
    <x v="7"/>
    <x v="0"/>
  </r>
  <r>
    <x v="2"/>
    <x v="1"/>
    <x v="60"/>
    <x v="0"/>
    <x v="23"/>
    <x v="0"/>
    <x v="13"/>
    <x v="9"/>
    <x v="1"/>
    <x v="6"/>
    <x v="6"/>
    <x v="1"/>
    <x v="0"/>
  </r>
  <r>
    <x v="1"/>
    <x v="1"/>
    <x v="57"/>
    <x v="0"/>
    <x v="0"/>
    <x v="17"/>
    <x v="149"/>
    <x v="0"/>
    <x v="2"/>
    <x v="9"/>
    <x v="4"/>
    <x v="6"/>
    <x v="0"/>
  </r>
  <r>
    <x v="1"/>
    <x v="0"/>
    <x v="28"/>
    <x v="2"/>
    <x v="17"/>
    <x v="7"/>
    <x v="6"/>
    <x v="19"/>
    <x v="1"/>
    <x v="7"/>
    <x v="5"/>
    <x v="7"/>
    <x v="0"/>
  </r>
  <r>
    <x v="4"/>
    <x v="1"/>
    <x v="59"/>
    <x v="2"/>
    <x v="48"/>
    <x v="24"/>
    <x v="93"/>
    <x v="14"/>
    <x v="2"/>
    <x v="0"/>
    <x v="5"/>
    <x v="7"/>
    <x v="0"/>
  </r>
  <r>
    <x v="5"/>
    <x v="1"/>
    <x v="13"/>
    <x v="1"/>
    <x v="28"/>
    <x v="15"/>
    <x v="116"/>
    <x v="12"/>
    <x v="0"/>
    <x v="0"/>
    <x v="2"/>
    <x v="5"/>
    <x v="0"/>
  </r>
  <r>
    <x v="3"/>
    <x v="1"/>
    <x v="58"/>
    <x v="1"/>
    <x v="45"/>
    <x v="16"/>
    <x v="101"/>
    <x v="17"/>
    <x v="2"/>
    <x v="2"/>
    <x v="0"/>
    <x v="2"/>
    <x v="0"/>
  </r>
  <r>
    <x v="1"/>
    <x v="1"/>
    <x v="8"/>
    <x v="0"/>
    <x v="6"/>
    <x v="0"/>
    <x v="53"/>
    <x v="19"/>
    <x v="2"/>
    <x v="5"/>
    <x v="2"/>
    <x v="5"/>
    <x v="0"/>
  </r>
  <r>
    <x v="3"/>
    <x v="1"/>
    <x v="46"/>
    <x v="2"/>
    <x v="13"/>
    <x v="19"/>
    <x v="47"/>
    <x v="4"/>
    <x v="0"/>
    <x v="8"/>
    <x v="9"/>
    <x v="9"/>
    <x v="0"/>
  </r>
  <r>
    <x v="0"/>
    <x v="1"/>
    <x v="23"/>
    <x v="0"/>
    <x v="10"/>
    <x v="9"/>
    <x v="110"/>
    <x v="2"/>
    <x v="1"/>
    <x v="0"/>
    <x v="7"/>
    <x v="6"/>
    <x v="0"/>
  </r>
  <r>
    <x v="0"/>
    <x v="1"/>
    <x v="57"/>
    <x v="1"/>
    <x v="31"/>
    <x v="17"/>
    <x v="40"/>
    <x v="12"/>
    <x v="1"/>
    <x v="5"/>
    <x v="2"/>
    <x v="0"/>
    <x v="0"/>
  </r>
  <r>
    <x v="6"/>
    <x v="0"/>
    <x v="35"/>
    <x v="1"/>
    <x v="9"/>
    <x v="15"/>
    <x v="151"/>
    <x v="0"/>
    <x v="2"/>
    <x v="6"/>
    <x v="1"/>
    <x v="7"/>
    <x v="0"/>
  </r>
  <r>
    <x v="6"/>
    <x v="0"/>
    <x v="52"/>
    <x v="0"/>
    <x v="35"/>
    <x v="6"/>
    <x v="167"/>
    <x v="12"/>
    <x v="0"/>
    <x v="3"/>
    <x v="7"/>
    <x v="6"/>
    <x v="0"/>
  </r>
  <r>
    <x v="0"/>
    <x v="0"/>
    <x v="57"/>
    <x v="0"/>
    <x v="28"/>
    <x v="22"/>
    <x v="60"/>
    <x v="11"/>
    <x v="2"/>
    <x v="8"/>
    <x v="0"/>
    <x v="2"/>
    <x v="0"/>
  </r>
  <r>
    <x v="2"/>
    <x v="1"/>
    <x v="15"/>
    <x v="1"/>
    <x v="7"/>
    <x v="10"/>
    <x v="139"/>
    <x v="16"/>
    <x v="2"/>
    <x v="6"/>
    <x v="7"/>
    <x v="8"/>
    <x v="0"/>
  </r>
  <r>
    <x v="3"/>
    <x v="0"/>
    <x v="53"/>
    <x v="2"/>
    <x v="7"/>
    <x v="5"/>
    <x v="37"/>
    <x v="2"/>
    <x v="0"/>
    <x v="7"/>
    <x v="3"/>
    <x v="3"/>
    <x v="1"/>
  </r>
  <r>
    <x v="1"/>
    <x v="1"/>
    <x v="56"/>
    <x v="2"/>
    <x v="5"/>
    <x v="21"/>
    <x v="108"/>
    <x v="5"/>
    <x v="1"/>
    <x v="8"/>
    <x v="4"/>
    <x v="8"/>
    <x v="0"/>
  </r>
  <r>
    <x v="0"/>
    <x v="1"/>
    <x v="69"/>
    <x v="2"/>
    <x v="12"/>
    <x v="22"/>
    <x v="28"/>
    <x v="6"/>
    <x v="2"/>
    <x v="9"/>
    <x v="6"/>
    <x v="5"/>
    <x v="1"/>
  </r>
  <r>
    <x v="3"/>
    <x v="1"/>
    <x v="12"/>
    <x v="0"/>
    <x v="11"/>
    <x v="4"/>
    <x v="177"/>
    <x v="16"/>
    <x v="2"/>
    <x v="5"/>
    <x v="1"/>
    <x v="4"/>
    <x v="0"/>
  </r>
  <r>
    <x v="3"/>
    <x v="1"/>
    <x v="27"/>
    <x v="1"/>
    <x v="32"/>
    <x v="6"/>
    <x v="27"/>
    <x v="8"/>
    <x v="1"/>
    <x v="4"/>
    <x v="0"/>
    <x v="5"/>
    <x v="0"/>
  </r>
  <r>
    <x v="5"/>
    <x v="1"/>
    <x v="41"/>
    <x v="2"/>
    <x v="25"/>
    <x v="1"/>
    <x v="82"/>
    <x v="8"/>
    <x v="2"/>
    <x v="6"/>
    <x v="4"/>
    <x v="4"/>
    <x v="0"/>
  </r>
  <r>
    <x v="2"/>
    <x v="0"/>
    <x v="67"/>
    <x v="1"/>
    <x v="20"/>
    <x v="9"/>
    <x v="114"/>
    <x v="0"/>
    <x v="0"/>
    <x v="0"/>
    <x v="1"/>
    <x v="2"/>
    <x v="0"/>
  </r>
  <r>
    <x v="3"/>
    <x v="1"/>
    <x v="32"/>
    <x v="0"/>
    <x v="29"/>
    <x v="5"/>
    <x v="187"/>
    <x v="14"/>
    <x v="0"/>
    <x v="7"/>
    <x v="5"/>
    <x v="0"/>
    <x v="1"/>
  </r>
  <r>
    <x v="2"/>
    <x v="0"/>
    <x v="26"/>
    <x v="0"/>
    <x v="40"/>
    <x v="6"/>
    <x v="200"/>
    <x v="3"/>
    <x v="0"/>
    <x v="5"/>
    <x v="3"/>
    <x v="9"/>
    <x v="0"/>
  </r>
  <r>
    <x v="4"/>
    <x v="0"/>
    <x v="25"/>
    <x v="0"/>
    <x v="26"/>
    <x v="8"/>
    <x v="57"/>
    <x v="15"/>
    <x v="2"/>
    <x v="1"/>
    <x v="6"/>
    <x v="1"/>
    <x v="0"/>
  </r>
  <r>
    <x v="0"/>
    <x v="0"/>
    <x v="6"/>
    <x v="1"/>
    <x v="4"/>
    <x v="23"/>
    <x v="48"/>
    <x v="12"/>
    <x v="1"/>
    <x v="9"/>
    <x v="6"/>
    <x v="8"/>
    <x v="0"/>
  </r>
  <r>
    <x v="4"/>
    <x v="1"/>
    <x v="30"/>
    <x v="2"/>
    <x v="10"/>
    <x v="4"/>
    <x v="48"/>
    <x v="7"/>
    <x v="2"/>
    <x v="4"/>
    <x v="1"/>
    <x v="8"/>
    <x v="0"/>
  </r>
  <r>
    <x v="5"/>
    <x v="1"/>
    <x v="11"/>
    <x v="1"/>
    <x v="20"/>
    <x v="0"/>
    <x v="25"/>
    <x v="4"/>
    <x v="0"/>
    <x v="4"/>
    <x v="5"/>
    <x v="6"/>
    <x v="0"/>
  </r>
  <r>
    <x v="4"/>
    <x v="1"/>
    <x v="24"/>
    <x v="2"/>
    <x v="46"/>
    <x v="19"/>
    <x v="38"/>
    <x v="16"/>
    <x v="0"/>
    <x v="8"/>
    <x v="2"/>
    <x v="9"/>
    <x v="0"/>
  </r>
  <r>
    <x v="6"/>
    <x v="0"/>
    <x v="6"/>
    <x v="0"/>
    <x v="7"/>
    <x v="16"/>
    <x v="83"/>
    <x v="19"/>
    <x v="1"/>
    <x v="5"/>
    <x v="2"/>
    <x v="7"/>
    <x v="0"/>
  </r>
  <r>
    <x v="6"/>
    <x v="0"/>
    <x v="25"/>
    <x v="1"/>
    <x v="8"/>
    <x v="23"/>
    <x v="29"/>
    <x v="13"/>
    <x v="0"/>
    <x v="1"/>
    <x v="7"/>
    <x v="5"/>
    <x v="0"/>
  </r>
  <r>
    <x v="4"/>
    <x v="0"/>
    <x v="20"/>
    <x v="2"/>
    <x v="36"/>
    <x v="13"/>
    <x v="107"/>
    <x v="13"/>
    <x v="0"/>
    <x v="0"/>
    <x v="7"/>
    <x v="7"/>
    <x v="0"/>
  </r>
  <r>
    <x v="1"/>
    <x v="1"/>
    <x v="3"/>
    <x v="2"/>
    <x v="5"/>
    <x v="12"/>
    <x v="197"/>
    <x v="8"/>
    <x v="0"/>
    <x v="8"/>
    <x v="3"/>
    <x v="5"/>
    <x v="1"/>
  </r>
  <r>
    <x v="4"/>
    <x v="1"/>
    <x v="21"/>
    <x v="0"/>
    <x v="19"/>
    <x v="11"/>
    <x v="140"/>
    <x v="13"/>
    <x v="1"/>
    <x v="6"/>
    <x v="6"/>
    <x v="4"/>
    <x v="0"/>
  </r>
  <r>
    <x v="5"/>
    <x v="0"/>
    <x v="60"/>
    <x v="2"/>
    <x v="15"/>
    <x v="10"/>
    <x v="181"/>
    <x v="6"/>
    <x v="0"/>
    <x v="1"/>
    <x v="2"/>
    <x v="6"/>
    <x v="0"/>
  </r>
  <r>
    <x v="5"/>
    <x v="1"/>
    <x v="60"/>
    <x v="1"/>
    <x v="2"/>
    <x v="4"/>
    <x v="18"/>
    <x v="8"/>
    <x v="2"/>
    <x v="2"/>
    <x v="4"/>
    <x v="5"/>
    <x v="0"/>
  </r>
  <r>
    <x v="2"/>
    <x v="1"/>
    <x v="18"/>
    <x v="2"/>
    <x v="10"/>
    <x v="1"/>
    <x v="115"/>
    <x v="20"/>
    <x v="1"/>
    <x v="0"/>
    <x v="6"/>
    <x v="0"/>
    <x v="0"/>
  </r>
  <r>
    <x v="4"/>
    <x v="1"/>
    <x v="21"/>
    <x v="0"/>
    <x v="7"/>
    <x v="16"/>
    <x v="105"/>
    <x v="6"/>
    <x v="1"/>
    <x v="4"/>
    <x v="8"/>
    <x v="1"/>
    <x v="0"/>
  </r>
  <r>
    <x v="4"/>
    <x v="0"/>
    <x v="27"/>
    <x v="0"/>
    <x v="39"/>
    <x v="9"/>
    <x v="40"/>
    <x v="15"/>
    <x v="1"/>
    <x v="9"/>
    <x v="0"/>
    <x v="2"/>
    <x v="0"/>
  </r>
  <r>
    <x v="3"/>
    <x v="0"/>
    <x v="55"/>
    <x v="1"/>
    <x v="20"/>
    <x v="1"/>
    <x v="16"/>
    <x v="18"/>
    <x v="2"/>
    <x v="0"/>
    <x v="7"/>
    <x v="4"/>
    <x v="0"/>
  </r>
  <r>
    <x v="5"/>
    <x v="0"/>
    <x v="68"/>
    <x v="0"/>
    <x v="2"/>
    <x v="15"/>
    <x v="121"/>
    <x v="19"/>
    <x v="2"/>
    <x v="6"/>
    <x v="6"/>
    <x v="8"/>
    <x v="0"/>
  </r>
  <r>
    <x v="6"/>
    <x v="0"/>
    <x v="63"/>
    <x v="2"/>
    <x v="26"/>
    <x v="4"/>
    <x v="131"/>
    <x v="5"/>
    <x v="0"/>
    <x v="0"/>
    <x v="8"/>
    <x v="2"/>
    <x v="0"/>
  </r>
  <r>
    <x v="4"/>
    <x v="0"/>
    <x v="47"/>
    <x v="2"/>
    <x v="4"/>
    <x v="23"/>
    <x v="168"/>
    <x v="18"/>
    <x v="0"/>
    <x v="2"/>
    <x v="9"/>
    <x v="7"/>
    <x v="0"/>
  </r>
  <r>
    <x v="1"/>
    <x v="0"/>
    <x v="14"/>
    <x v="1"/>
    <x v="9"/>
    <x v="9"/>
    <x v="11"/>
    <x v="10"/>
    <x v="1"/>
    <x v="4"/>
    <x v="2"/>
    <x v="2"/>
    <x v="0"/>
  </r>
  <r>
    <x v="4"/>
    <x v="1"/>
    <x v="69"/>
    <x v="2"/>
    <x v="24"/>
    <x v="20"/>
    <x v="18"/>
    <x v="2"/>
    <x v="1"/>
    <x v="3"/>
    <x v="2"/>
    <x v="1"/>
    <x v="0"/>
  </r>
  <r>
    <x v="3"/>
    <x v="0"/>
    <x v="9"/>
    <x v="2"/>
    <x v="42"/>
    <x v="24"/>
    <x v="63"/>
    <x v="15"/>
    <x v="0"/>
    <x v="7"/>
    <x v="8"/>
    <x v="6"/>
    <x v="0"/>
  </r>
  <r>
    <x v="0"/>
    <x v="1"/>
    <x v="8"/>
    <x v="2"/>
    <x v="37"/>
    <x v="22"/>
    <x v="196"/>
    <x v="5"/>
    <x v="0"/>
    <x v="1"/>
    <x v="2"/>
    <x v="4"/>
    <x v="0"/>
  </r>
  <r>
    <x v="5"/>
    <x v="1"/>
    <x v="11"/>
    <x v="0"/>
    <x v="11"/>
    <x v="9"/>
    <x v="89"/>
    <x v="13"/>
    <x v="0"/>
    <x v="1"/>
    <x v="4"/>
    <x v="3"/>
    <x v="0"/>
  </r>
  <r>
    <x v="6"/>
    <x v="1"/>
    <x v="67"/>
    <x v="2"/>
    <x v="27"/>
    <x v="5"/>
    <x v="179"/>
    <x v="10"/>
    <x v="0"/>
    <x v="0"/>
    <x v="6"/>
    <x v="4"/>
    <x v="0"/>
  </r>
  <r>
    <x v="5"/>
    <x v="1"/>
    <x v="62"/>
    <x v="1"/>
    <x v="37"/>
    <x v="10"/>
    <x v="89"/>
    <x v="16"/>
    <x v="0"/>
    <x v="4"/>
    <x v="6"/>
    <x v="0"/>
    <x v="0"/>
  </r>
  <r>
    <x v="3"/>
    <x v="1"/>
    <x v="67"/>
    <x v="0"/>
    <x v="40"/>
    <x v="12"/>
    <x v="102"/>
    <x v="17"/>
    <x v="0"/>
    <x v="4"/>
    <x v="1"/>
    <x v="4"/>
    <x v="0"/>
  </r>
  <r>
    <x v="1"/>
    <x v="1"/>
    <x v="22"/>
    <x v="0"/>
    <x v="7"/>
    <x v="15"/>
    <x v="107"/>
    <x v="6"/>
    <x v="0"/>
    <x v="2"/>
    <x v="7"/>
    <x v="5"/>
    <x v="0"/>
  </r>
  <r>
    <x v="3"/>
    <x v="0"/>
    <x v="19"/>
    <x v="0"/>
    <x v="2"/>
    <x v="14"/>
    <x v="96"/>
    <x v="8"/>
    <x v="0"/>
    <x v="6"/>
    <x v="4"/>
    <x v="0"/>
    <x v="0"/>
  </r>
  <r>
    <x v="4"/>
    <x v="1"/>
    <x v="34"/>
    <x v="0"/>
    <x v="37"/>
    <x v="23"/>
    <x v="183"/>
    <x v="17"/>
    <x v="1"/>
    <x v="2"/>
    <x v="1"/>
    <x v="2"/>
    <x v="0"/>
  </r>
  <r>
    <x v="0"/>
    <x v="1"/>
    <x v="28"/>
    <x v="0"/>
    <x v="13"/>
    <x v="12"/>
    <x v="23"/>
    <x v="11"/>
    <x v="1"/>
    <x v="3"/>
    <x v="5"/>
    <x v="2"/>
    <x v="0"/>
  </r>
  <r>
    <x v="2"/>
    <x v="1"/>
    <x v="34"/>
    <x v="2"/>
    <x v="15"/>
    <x v="17"/>
    <x v="193"/>
    <x v="9"/>
    <x v="0"/>
    <x v="7"/>
    <x v="2"/>
    <x v="2"/>
    <x v="0"/>
  </r>
  <r>
    <x v="6"/>
    <x v="0"/>
    <x v="27"/>
    <x v="0"/>
    <x v="42"/>
    <x v="8"/>
    <x v="7"/>
    <x v="10"/>
    <x v="2"/>
    <x v="6"/>
    <x v="2"/>
    <x v="5"/>
    <x v="0"/>
  </r>
  <r>
    <x v="1"/>
    <x v="1"/>
    <x v="19"/>
    <x v="2"/>
    <x v="6"/>
    <x v="12"/>
    <x v="125"/>
    <x v="16"/>
    <x v="1"/>
    <x v="0"/>
    <x v="9"/>
    <x v="8"/>
    <x v="0"/>
  </r>
  <r>
    <x v="4"/>
    <x v="0"/>
    <x v="41"/>
    <x v="1"/>
    <x v="2"/>
    <x v="20"/>
    <x v="102"/>
    <x v="10"/>
    <x v="1"/>
    <x v="0"/>
    <x v="8"/>
    <x v="8"/>
    <x v="0"/>
  </r>
  <r>
    <x v="4"/>
    <x v="0"/>
    <x v="64"/>
    <x v="0"/>
    <x v="24"/>
    <x v="20"/>
    <x v="26"/>
    <x v="13"/>
    <x v="0"/>
    <x v="3"/>
    <x v="6"/>
    <x v="7"/>
    <x v="0"/>
  </r>
  <r>
    <x v="0"/>
    <x v="1"/>
    <x v="8"/>
    <x v="2"/>
    <x v="8"/>
    <x v="0"/>
    <x v="191"/>
    <x v="14"/>
    <x v="2"/>
    <x v="9"/>
    <x v="2"/>
    <x v="2"/>
    <x v="0"/>
  </r>
  <r>
    <x v="6"/>
    <x v="0"/>
    <x v="29"/>
    <x v="0"/>
    <x v="41"/>
    <x v="11"/>
    <x v="103"/>
    <x v="2"/>
    <x v="1"/>
    <x v="3"/>
    <x v="8"/>
    <x v="3"/>
    <x v="0"/>
  </r>
  <r>
    <x v="2"/>
    <x v="1"/>
    <x v="32"/>
    <x v="0"/>
    <x v="18"/>
    <x v="14"/>
    <x v="64"/>
    <x v="10"/>
    <x v="2"/>
    <x v="4"/>
    <x v="4"/>
    <x v="2"/>
    <x v="0"/>
  </r>
  <r>
    <x v="6"/>
    <x v="0"/>
    <x v="40"/>
    <x v="2"/>
    <x v="34"/>
    <x v="2"/>
    <x v="10"/>
    <x v="4"/>
    <x v="1"/>
    <x v="4"/>
    <x v="8"/>
    <x v="5"/>
    <x v="0"/>
  </r>
  <r>
    <x v="3"/>
    <x v="1"/>
    <x v="69"/>
    <x v="2"/>
    <x v="25"/>
    <x v="4"/>
    <x v="0"/>
    <x v="7"/>
    <x v="0"/>
    <x v="7"/>
    <x v="9"/>
    <x v="2"/>
    <x v="0"/>
  </r>
  <r>
    <x v="3"/>
    <x v="0"/>
    <x v="41"/>
    <x v="2"/>
    <x v="32"/>
    <x v="17"/>
    <x v="152"/>
    <x v="17"/>
    <x v="0"/>
    <x v="2"/>
    <x v="4"/>
    <x v="7"/>
    <x v="0"/>
  </r>
  <r>
    <x v="2"/>
    <x v="0"/>
    <x v="47"/>
    <x v="0"/>
    <x v="3"/>
    <x v="23"/>
    <x v="22"/>
    <x v="10"/>
    <x v="1"/>
    <x v="0"/>
    <x v="0"/>
    <x v="4"/>
    <x v="0"/>
  </r>
  <r>
    <x v="5"/>
    <x v="0"/>
    <x v="44"/>
    <x v="0"/>
    <x v="31"/>
    <x v="16"/>
    <x v="79"/>
    <x v="3"/>
    <x v="2"/>
    <x v="1"/>
    <x v="4"/>
    <x v="7"/>
    <x v="0"/>
  </r>
  <r>
    <x v="2"/>
    <x v="1"/>
    <x v="69"/>
    <x v="2"/>
    <x v="41"/>
    <x v="17"/>
    <x v="72"/>
    <x v="2"/>
    <x v="2"/>
    <x v="0"/>
    <x v="9"/>
    <x v="7"/>
    <x v="0"/>
  </r>
  <r>
    <x v="3"/>
    <x v="1"/>
    <x v="13"/>
    <x v="1"/>
    <x v="20"/>
    <x v="16"/>
    <x v="33"/>
    <x v="11"/>
    <x v="0"/>
    <x v="2"/>
    <x v="7"/>
    <x v="6"/>
    <x v="0"/>
  </r>
  <r>
    <x v="1"/>
    <x v="1"/>
    <x v="60"/>
    <x v="2"/>
    <x v="44"/>
    <x v="13"/>
    <x v="55"/>
    <x v="3"/>
    <x v="0"/>
    <x v="0"/>
    <x v="3"/>
    <x v="3"/>
    <x v="0"/>
  </r>
  <r>
    <x v="6"/>
    <x v="0"/>
    <x v="0"/>
    <x v="0"/>
    <x v="20"/>
    <x v="24"/>
    <x v="56"/>
    <x v="11"/>
    <x v="2"/>
    <x v="4"/>
    <x v="6"/>
    <x v="7"/>
    <x v="0"/>
  </r>
  <r>
    <x v="3"/>
    <x v="0"/>
    <x v="44"/>
    <x v="2"/>
    <x v="16"/>
    <x v="25"/>
    <x v="35"/>
    <x v="14"/>
    <x v="2"/>
    <x v="1"/>
    <x v="8"/>
    <x v="8"/>
    <x v="0"/>
  </r>
  <r>
    <x v="1"/>
    <x v="0"/>
    <x v="12"/>
    <x v="1"/>
    <x v="6"/>
    <x v="16"/>
    <x v="52"/>
    <x v="0"/>
    <x v="1"/>
    <x v="3"/>
    <x v="3"/>
    <x v="2"/>
    <x v="0"/>
  </r>
  <r>
    <x v="6"/>
    <x v="1"/>
    <x v="38"/>
    <x v="0"/>
    <x v="12"/>
    <x v="15"/>
    <x v="26"/>
    <x v="20"/>
    <x v="2"/>
    <x v="0"/>
    <x v="6"/>
    <x v="4"/>
    <x v="0"/>
  </r>
  <r>
    <x v="6"/>
    <x v="1"/>
    <x v="2"/>
    <x v="1"/>
    <x v="19"/>
    <x v="16"/>
    <x v="94"/>
    <x v="15"/>
    <x v="0"/>
    <x v="7"/>
    <x v="7"/>
    <x v="3"/>
    <x v="0"/>
  </r>
  <r>
    <x v="6"/>
    <x v="1"/>
    <x v="43"/>
    <x v="2"/>
    <x v="18"/>
    <x v="19"/>
    <x v="192"/>
    <x v="18"/>
    <x v="2"/>
    <x v="3"/>
    <x v="5"/>
    <x v="5"/>
    <x v="0"/>
  </r>
  <r>
    <x v="6"/>
    <x v="1"/>
    <x v="7"/>
    <x v="1"/>
    <x v="43"/>
    <x v="24"/>
    <x v="163"/>
    <x v="4"/>
    <x v="2"/>
    <x v="3"/>
    <x v="8"/>
    <x v="6"/>
    <x v="0"/>
  </r>
  <r>
    <x v="5"/>
    <x v="0"/>
    <x v="3"/>
    <x v="2"/>
    <x v="11"/>
    <x v="20"/>
    <x v="15"/>
    <x v="3"/>
    <x v="2"/>
    <x v="3"/>
    <x v="3"/>
    <x v="9"/>
    <x v="0"/>
  </r>
  <r>
    <x v="6"/>
    <x v="0"/>
    <x v="37"/>
    <x v="1"/>
    <x v="49"/>
    <x v="17"/>
    <x v="5"/>
    <x v="4"/>
    <x v="1"/>
    <x v="5"/>
    <x v="9"/>
    <x v="4"/>
    <x v="0"/>
  </r>
  <r>
    <x v="4"/>
    <x v="1"/>
    <x v="28"/>
    <x v="1"/>
    <x v="16"/>
    <x v="6"/>
    <x v="6"/>
    <x v="3"/>
    <x v="2"/>
    <x v="5"/>
    <x v="5"/>
    <x v="2"/>
    <x v="0"/>
  </r>
  <r>
    <x v="4"/>
    <x v="1"/>
    <x v="5"/>
    <x v="1"/>
    <x v="20"/>
    <x v="2"/>
    <x v="97"/>
    <x v="5"/>
    <x v="2"/>
    <x v="7"/>
    <x v="3"/>
    <x v="9"/>
    <x v="0"/>
  </r>
  <r>
    <x v="4"/>
    <x v="0"/>
    <x v="6"/>
    <x v="2"/>
    <x v="1"/>
    <x v="19"/>
    <x v="152"/>
    <x v="3"/>
    <x v="1"/>
    <x v="3"/>
    <x v="1"/>
    <x v="7"/>
    <x v="0"/>
  </r>
  <r>
    <x v="2"/>
    <x v="1"/>
    <x v="24"/>
    <x v="2"/>
    <x v="1"/>
    <x v="13"/>
    <x v="184"/>
    <x v="14"/>
    <x v="2"/>
    <x v="6"/>
    <x v="6"/>
    <x v="5"/>
    <x v="0"/>
  </r>
  <r>
    <x v="0"/>
    <x v="1"/>
    <x v="36"/>
    <x v="1"/>
    <x v="9"/>
    <x v="2"/>
    <x v="155"/>
    <x v="8"/>
    <x v="2"/>
    <x v="4"/>
    <x v="5"/>
    <x v="9"/>
    <x v="0"/>
  </r>
  <r>
    <x v="0"/>
    <x v="0"/>
    <x v="8"/>
    <x v="1"/>
    <x v="12"/>
    <x v="23"/>
    <x v="140"/>
    <x v="14"/>
    <x v="0"/>
    <x v="9"/>
    <x v="9"/>
    <x v="4"/>
    <x v="0"/>
  </r>
  <r>
    <x v="6"/>
    <x v="1"/>
    <x v="36"/>
    <x v="0"/>
    <x v="14"/>
    <x v="14"/>
    <x v="90"/>
    <x v="10"/>
    <x v="1"/>
    <x v="8"/>
    <x v="0"/>
    <x v="6"/>
    <x v="0"/>
  </r>
  <r>
    <x v="3"/>
    <x v="1"/>
    <x v="32"/>
    <x v="2"/>
    <x v="12"/>
    <x v="0"/>
    <x v="3"/>
    <x v="17"/>
    <x v="2"/>
    <x v="0"/>
    <x v="3"/>
    <x v="7"/>
    <x v="0"/>
  </r>
  <r>
    <x v="5"/>
    <x v="1"/>
    <x v="68"/>
    <x v="1"/>
    <x v="43"/>
    <x v="6"/>
    <x v="175"/>
    <x v="13"/>
    <x v="0"/>
    <x v="6"/>
    <x v="9"/>
    <x v="0"/>
    <x v="0"/>
  </r>
  <r>
    <x v="5"/>
    <x v="0"/>
    <x v="59"/>
    <x v="0"/>
    <x v="30"/>
    <x v="25"/>
    <x v="194"/>
    <x v="11"/>
    <x v="0"/>
    <x v="6"/>
    <x v="1"/>
    <x v="7"/>
    <x v="0"/>
  </r>
  <r>
    <x v="3"/>
    <x v="0"/>
    <x v="6"/>
    <x v="1"/>
    <x v="38"/>
    <x v="22"/>
    <x v="120"/>
    <x v="7"/>
    <x v="0"/>
    <x v="6"/>
    <x v="4"/>
    <x v="9"/>
    <x v="0"/>
  </r>
  <r>
    <x v="5"/>
    <x v="0"/>
    <x v="26"/>
    <x v="2"/>
    <x v="40"/>
    <x v="17"/>
    <x v="57"/>
    <x v="7"/>
    <x v="2"/>
    <x v="3"/>
    <x v="1"/>
    <x v="5"/>
    <x v="0"/>
  </r>
  <r>
    <x v="3"/>
    <x v="0"/>
    <x v="8"/>
    <x v="2"/>
    <x v="12"/>
    <x v="24"/>
    <x v="90"/>
    <x v="19"/>
    <x v="2"/>
    <x v="2"/>
    <x v="9"/>
    <x v="8"/>
    <x v="0"/>
  </r>
  <r>
    <x v="4"/>
    <x v="0"/>
    <x v="0"/>
    <x v="2"/>
    <x v="37"/>
    <x v="23"/>
    <x v="62"/>
    <x v="19"/>
    <x v="2"/>
    <x v="2"/>
    <x v="0"/>
    <x v="1"/>
    <x v="0"/>
  </r>
  <r>
    <x v="0"/>
    <x v="1"/>
    <x v="49"/>
    <x v="0"/>
    <x v="14"/>
    <x v="22"/>
    <x v="29"/>
    <x v="18"/>
    <x v="1"/>
    <x v="3"/>
    <x v="9"/>
    <x v="8"/>
    <x v="0"/>
  </r>
  <r>
    <x v="3"/>
    <x v="1"/>
    <x v="31"/>
    <x v="2"/>
    <x v="27"/>
    <x v="24"/>
    <x v="174"/>
    <x v="0"/>
    <x v="1"/>
    <x v="7"/>
    <x v="0"/>
    <x v="4"/>
    <x v="0"/>
  </r>
  <r>
    <x v="5"/>
    <x v="1"/>
    <x v="57"/>
    <x v="2"/>
    <x v="7"/>
    <x v="19"/>
    <x v="90"/>
    <x v="8"/>
    <x v="2"/>
    <x v="0"/>
    <x v="7"/>
    <x v="7"/>
    <x v="0"/>
  </r>
  <r>
    <x v="5"/>
    <x v="0"/>
    <x v="59"/>
    <x v="1"/>
    <x v="0"/>
    <x v="8"/>
    <x v="162"/>
    <x v="19"/>
    <x v="2"/>
    <x v="7"/>
    <x v="8"/>
    <x v="9"/>
    <x v="0"/>
  </r>
  <r>
    <x v="2"/>
    <x v="1"/>
    <x v="53"/>
    <x v="1"/>
    <x v="12"/>
    <x v="15"/>
    <x v="82"/>
    <x v="9"/>
    <x v="1"/>
    <x v="7"/>
    <x v="0"/>
    <x v="8"/>
    <x v="0"/>
  </r>
  <r>
    <x v="0"/>
    <x v="1"/>
    <x v="27"/>
    <x v="0"/>
    <x v="50"/>
    <x v="14"/>
    <x v="199"/>
    <x v="0"/>
    <x v="0"/>
    <x v="5"/>
    <x v="8"/>
    <x v="0"/>
    <x v="0"/>
  </r>
  <r>
    <x v="2"/>
    <x v="0"/>
    <x v="24"/>
    <x v="1"/>
    <x v="14"/>
    <x v="9"/>
    <x v="12"/>
    <x v="10"/>
    <x v="2"/>
    <x v="2"/>
    <x v="5"/>
    <x v="4"/>
    <x v="0"/>
  </r>
  <r>
    <x v="4"/>
    <x v="0"/>
    <x v="44"/>
    <x v="2"/>
    <x v="26"/>
    <x v="23"/>
    <x v="149"/>
    <x v="1"/>
    <x v="1"/>
    <x v="5"/>
    <x v="2"/>
    <x v="8"/>
    <x v="0"/>
  </r>
  <r>
    <x v="6"/>
    <x v="1"/>
    <x v="37"/>
    <x v="0"/>
    <x v="5"/>
    <x v="20"/>
    <x v="164"/>
    <x v="19"/>
    <x v="1"/>
    <x v="0"/>
    <x v="0"/>
    <x v="0"/>
    <x v="0"/>
  </r>
  <r>
    <x v="0"/>
    <x v="1"/>
    <x v="46"/>
    <x v="1"/>
    <x v="16"/>
    <x v="22"/>
    <x v="130"/>
    <x v="8"/>
    <x v="1"/>
    <x v="9"/>
    <x v="8"/>
    <x v="2"/>
    <x v="0"/>
  </r>
  <r>
    <x v="4"/>
    <x v="0"/>
    <x v="28"/>
    <x v="2"/>
    <x v="39"/>
    <x v="0"/>
    <x v="70"/>
    <x v="4"/>
    <x v="2"/>
    <x v="9"/>
    <x v="7"/>
    <x v="7"/>
    <x v="0"/>
  </r>
  <r>
    <x v="1"/>
    <x v="0"/>
    <x v="63"/>
    <x v="2"/>
    <x v="10"/>
    <x v="1"/>
    <x v="52"/>
    <x v="10"/>
    <x v="1"/>
    <x v="2"/>
    <x v="4"/>
    <x v="8"/>
    <x v="0"/>
  </r>
  <r>
    <x v="6"/>
    <x v="1"/>
    <x v="36"/>
    <x v="2"/>
    <x v="36"/>
    <x v="22"/>
    <x v="142"/>
    <x v="7"/>
    <x v="0"/>
    <x v="5"/>
    <x v="6"/>
    <x v="3"/>
    <x v="0"/>
  </r>
  <r>
    <x v="5"/>
    <x v="1"/>
    <x v="0"/>
    <x v="0"/>
    <x v="32"/>
    <x v="23"/>
    <x v="182"/>
    <x v="18"/>
    <x v="1"/>
    <x v="0"/>
    <x v="3"/>
    <x v="5"/>
    <x v="0"/>
  </r>
  <r>
    <x v="6"/>
    <x v="0"/>
    <x v="35"/>
    <x v="2"/>
    <x v="16"/>
    <x v="22"/>
    <x v="139"/>
    <x v="19"/>
    <x v="0"/>
    <x v="9"/>
    <x v="0"/>
    <x v="8"/>
    <x v="0"/>
  </r>
  <r>
    <x v="0"/>
    <x v="1"/>
    <x v="55"/>
    <x v="0"/>
    <x v="47"/>
    <x v="15"/>
    <x v="43"/>
    <x v="16"/>
    <x v="1"/>
    <x v="4"/>
    <x v="5"/>
    <x v="5"/>
    <x v="0"/>
  </r>
  <r>
    <x v="1"/>
    <x v="0"/>
    <x v="36"/>
    <x v="0"/>
    <x v="19"/>
    <x v="16"/>
    <x v="13"/>
    <x v="1"/>
    <x v="2"/>
    <x v="9"/>
    <x v="6"/>
    <x v="2"/>
    <x v="0"/>
  </r>
  <r>
    <x v="2"/>
    <x v="0"/>
    <x v="35"/>
    <x v="2"/>
    <x v="17"/>
    <x v="24"/>
    <x v="62"/>
    <x v="4"/>
    <x v="1"/>
    <x v="9"/>
    <x v="9"/>
    <x v="0"/>
    <x v="0"/>
  </r>
  <r>
    <x v="5"/>
    <x v="0"/>
    <x v="29"/>
    <x v="0"/>
    <x v="26"/>
    <x v="20"/>
    <x v="151"/>
    <x v="10"/>
    <x v="1"/>
    <x v="1"/>
    <x v="3"/>
    <x v="9"/>
    <x v="0"/>
  </r>
  <r>
    <x v="6"/>
    <x v="0"/>
    <x v="37"/>
    <x v="1"/>
    <x v="11"/>
    <x v="9"/>
    <x v="101"/>
    <x v="14"/>
    <x v="0"/>
    <x v="9"/>
    <x v="9"/>
    <x v="4"/>
    <x v="0"/>
  </r>
  <r>
    <x v="5"/>
    <x v="1"/>
    <x v="61"/>
    <x v="2"/>
    <x v="40"/>
    <x v="7"/>
    <x v="198"/>
    <x v="12"/>
    <x v="0"/>
    <x v="8"/>
    <x v="8"/>
    <x v="1"/>
    <x v="0"/>
  </r>
  <r>
    <x v="0"/>
    <x v="1"/>
    <x v="39"/>
    <x v="2"/>
    <x v="22"/>
    <x v="1"/>
    <x v="2"/>
    <x v="5"/>
    <x v="1"/>
    <x v="3"/>
    <x v="2"/>
    <x v="7"/>
    <x v="0"/>
  </r>
  <r>
    <x v="3"/>
    <x v="1"/>
    <x v="53"/>
    <x v="0"/>
    <x v="17"/>
    <x v="3"/>
    <x v="151"/>
    <x v="3"/>
    <x v="2"/>
    <x v="1"/>
    <x v="5"/>
    <x v="8"/>
    <x v="1"/>
  </r>
  <r>
    <x v="3"/>
    <x v="1"/>
    <x v="33"/>
    <x v="1"/>
    <x v="40"/>
    <x v="9"/>
    <x v="117"/>
    <x v="15"/>
    <x v="0"/>
    <x v="6"/>
    <x v="8"/>
    <x v="4"/>
    <x v="0"/>
  </r>
  <r>
    <x v="2"/>
    <x v="0"/>
    <x v="35"/>
    <x v="0"/>
    <x v="39"/>
    <x v="21"/>
    <x v="102"/>
    <x v="19"/>
    <x v="1"/>
    <x v="6"/>
    <x v="4"/>
    <x v="3"/>
    <x v="0"/>
  </r>
  <r>
    <x v="5"/>
    <x v="1"/>
    <x v="52"/>
    <x v="1"/>
    <x v="17"/>
    <x v="20"/>
    <x v="150"/>
    <x v="9"/>
    <x v="0"/>
    <x v="9"/>
    <x v="2"/>
    <x v="6"/>
    <x v="0"/>
  </r>
  <r>
    <x v="2"/>
    <x v="0"/>
    <x v="4"/>
    <x v="1"/>
    <x v="11"/>
    <x v="23"/>
    <x v="35"/>
    <x v="3"/>
    <x v="0"/>
    <x v="3"/>
    <x v="1"/>
    <x v="6"/>
    <x v="0"/>
  </r>
  <r>
    <x v="6"/>
    <x v="0"/>
    <x v="5"/>
    <x v="0"/>
    <x v="32"/>
    <x v="20"/>
    <x v="150"/>
    <x v="15"/>
    <x v="1"/>
    <x v="8"/>
    <x v="9"/>
    <x v="3"/>
    <x v="0"/>
  </r>
  <r>
    <x v="1"/>
    <x v="1"/>
    <x v="69"/>
    <x v="1"/>
    <x v="0"/>
    <x v="19"/>
    <x v="56"/>
    <x v="17"/>
    <x v="1"/>
    <x v="8"/>
    <x v="6"/>
    <x v="1"/>
    <x v="0"/>
  </r>
  <r>
    <x v="3"/>
    <x v="1"/>
    <x v="35"/>
    <x v="0"/>
    <x v="1"/>
    <x v="13"/>
    <x v="133"/>
    <x v="0"/>
    <x v="1"/>
    <x v="7"/>
    <x v="2"/>
    <x v="0"/>
    <x v="0"/>
  </r>
  <r>
    <x v="0"/>
    <x v="1"/>
    <x v="28"/>
    <x v="1"/>
    <x v="37"/>
    <x v="2"/>
    <x v="160"/>
    <x v="7"/>
    <x v="0"/>
    <x v="3"/>
    <x v="0"/>
    <x v="3"/>
    <x v="0"/>
  </r>
  <r>
    <x v="6"/>
    <x v="1"/>
    <x v="35"/>
    <x v="0"/>
    <x v="3"/>
    <x v="2"/>
    <x v="186"/>
    <x v="5"/>
    <x v="0"/>
    <x v="8"/>
    <x v="7"/>
    <x v="3"/>
    <x v="0"/>
  </r>
  <r>
    <x v="1"/>
    <x v="0"/>
    <x v="25"/>
    <x v="1"/>
    <x v="26"/>
    <x v="12"/>
    <x v="101"/>
    <x v="16"/>
    <x v="2"/>
    <x v="6"/>
    <x v="9"/>
    <x v="6"/>
    <x v="0"/>
  </r>
  <r>
    <x v="6"/>
    <x v="1"/>
    <x v="50"/>
    <x v="2"/>
    <x v="13"/>
    <x v="24"/>
    <x v="185"/>
    <x v="1"/>
    <x v="0"/>
    <x v="4"/>
    <x v="6"/>
    <x v="0"/>
    <x v="0"/>
  </r>
  <r>
    <x v="1"/>
    <x v="1"/>
    <x v="65"/>
    <x v="2"/>
    <x v="37"/>
    <x v="23"/>
    <x v="166"/>
    <x v="12"/>
    <x v="1"/>
    <x v="4"/>
    <x v="2"/>
    <x v="1"/>
    <x v="0"/>
  </r>
  <r>
    <x v="0"/>
    <x v="0"/>
    <x v="31"/>
    <x v="0"/>
    <x v="39"/>
    <x v="22"/>
    <x v="87"/>
    <x v="8"/>
    <x v="0"/>
    <x v="9"/>
    <x v="2"/>
    <x v="9"/>
    <x v="0"/>
  </r>
  <r>
    <x v="6"/>
    <x v="1"/>
    <x v="7"/>
    <x v="1"/>
    <x v="6"/>
    <x v="14"/>
    <x v="163"/>
    <x v="19"/>
    <x v="0"/>
    <x v="8"/>
    <x v="0"/>
    <x v="6"/>
    <x v="0"/>
  </r>
  <r>
    <x v="4"/>
    <x v="0"/>
    <x v="17"/>
    <x v="2"/>
    <x v="16"/>
    <x v="8"/>
    <x v="154"/>
    <x v="17"/>
    <x v="2"/>
    <x v="6"/>
    <x v="9"/>
    <x v="3"/>
    <x v="0"/>
  </r>
  <r>
    <x v="6"/>
    <x v="1"/>
    <x v="5"/>
    <x v="2"/>
    <x v="22"/>
    <x v="12"/>
    <x v="45"/>
    <x v="7"/>
    <x v="2"/>
    <x v="2"/>
    <x v="2"/>
    <x v="8"/>
    <x v="0"/>
  </r>
  <r>
    <x v="5"/>
    <x v="0"/>
    <x v="67"/>
    <x v="1"/>
    <x v="31"/>
    <x v="22"/>
    <x v="77"/>
    <x v="19"/>
    <x v="1"/>
    <x v="6"/>
    <x v="3"/>
    <x v="8"/>
    <x v="0"/>
  </r>
  <r>
    <x v="4"/>
    <x v="1"/>
    <x v="33"/>
    <x v="2"/>
    <x v="20"/>
    <x v="13"/>
    <x v="187"/>
    <x v="10"/>
    <x v="2"/>
    <x v="5"/>
    <x v="6"/>
    <x v="8"/>
    <x v="0"/>
  </r>
  <r>
    <x v="5"/>
    <x v="0"/>
    <x v="0"/>
    <x v="0"/>
    <x v="19"/>
    <x v="7"/>
    <x v="89"/>
    <x v="5"/>
    <x v="1"/>
    <x v="9"/>
    <x v="3"/>
    <x v="6"/>
    <x v="0"/>
  </r>
  <r>
    <x v="4"/>
    <x v="0"/>
    <x v="46"/>
    <x v="2"/>
    <x v="1"/>
    <x v="4"/>
    <x v="70"/>
    <x v="2"/>
    <x v="0"/>
    <x v="0"/>
    <x v="5"/>
    <x v="9"/>
    <x v="0"/>
  </r>
  <r>
    <x v="5"/>
    <x v="0"/>
    <x v="40"/>
    <x v="1"/>
    <x v="7"/>
    <x v="5"/>
    <x v="139"/>
    <x v="8"/>
    <x v="2"/>
    <x v="4"/>
    <x v="4"/>
    <x v="4"/>
    <x v="0"/>
  </r>
  <r>
    <x v="4"/>
    <x v="1"/>
    <x v="47"/>
    <x v="1"/>
    <x v="15"/>
    <x v="23"/>
    <x v="184"/>
    <x v="8"/>
    <x v="0"/>
    <x v="6"/>
    <x v="0"/>
    <x v="6"/>
    <x v="0"/>
  </r>
  <r>
    <x v="4"/>
    <x v="1"/>
    <x v="37"/>
    <x v="2"/>
    <x v="31"/>
    <x v="15"/>
    <x v="43"/>
    <x v="14"/>
    <x v="1"/>
    <x v="5"/>
    <x v="7"/>
    <x v="2"/>
    <x v="0"/>
  </r>
  <r>
    <x v="4"/>
    <x v="1"/>
    <x v="67"/>
    <x v="0"/>
    <x v="5"/>
    <x v="25"/>
    <x v="184"/>
    <x v="8"/>
    <x v="1"/>
    <x v="1"/>
    <x v="7"/>
    <x v="4"/>
    <x v="0"/>
  </r>
  <r>
    <x v="2"/>
    <x v="0"/>
    <x v="42"/>
    <x v="2"/>
    <x v="17"/>
    <x v="7"/>
    <x v="7"/>
    <x v="1"/>
    <x v="1"/>
    <x v="7"/>
    <x v="7"/>
    <x v="2"/>
    <x v="1"/>
  </r>
  <r>
    <x v="0"/>
    <x v="1"/>
    <x v="12"/>
    <x v="0"/>
    <x v="18"/>
    <x v="8"/>
    <x v="188"/>
    <x v="17"/>
    <x v="1"/>
    <x v="7"/>
    <x v="5"/>
    <x v="4"/>
    <x v="0"/>
  </r>
  <r>
    <x v="2"/>
    <x v="0"/>
    <x v="41"/>
    <x v="1"/>
    <x v="21"/>
    <x v="22"/>
    <x v="4"/>
    <x v="2"/>
    <x v="1"/>
    <x v="3"/>
    <x v="5"/>
    <x v="7"/>
    <x v="0"/>
  </r>
  <r>
    <x v="6"/>
    <x v="0"/>
    <x v="33"/>
    <x v="2"/>
    <x v="6"/>
    <x v="7"/>
    <x v="66"/>
    <x v="11"/>
    <x v="2"/>
    <x v="1"/>
    <x v="8"/>
    <x v="4"/>
    <x v="0"/>
  </r>
  <r>
    <x v="5"/>
    <x v="0"/>
    <x v="8"/>
    <x v="2"/>
    <x v="3"/>
    <x v="5"/>
    <x v="116"/>
    <x v="8"/>
    <x v="0"/>
    <x v="3"/>
    <x v="2"/>
    <x v="1"/>
    <x v="0"/>
  </r>
  <r>
    <x v="1"/>
    <x v="0"/>
    <x v="23"/>
    <x v="1"/>
    <x v="39"/>
    <x v="10"/>
    <x v="72"/>
    <x v="5"/>
    <x v="0"/>
    <x v="1"/>
    <x v="1"/>
    <x v="0"/>
    <x v="0"/>
  </r>
  <r>
    <x v="6"/>
    <x v="1"/>
    <x v="4"/>
    <x v="2"/>
    <x v="16"/>
    <x v="12"/>
    <x v="84"/>
    <x v="1"/>
    <x v="1"/>
    <x v="7"/>
    <x v="8"/>
    <x v="3"/>
    <x v="0"/>
  </r>
  <r>
    <x v="0"/>
    <x v="0"/>
    <x v="46"/>
    <x v="2"/>
    <x v="34"/>
    <x v="12"/>
    <x v="151"/>
    <x v="9"/>
    <x v="0"/>
    <x v="5"/>
    <x v="5"/>
    <x v="3"/>
    <x v="0"/>
  </r>
  <r>
    <x v="4"/>
    <x v="1"/>
    <x v="34"/>
    <x v="0"/>
    <x v="25"/>
    <x v="0"/>
    <x v="54"/>
    <x v="13"/>
    <x v="2"/>
    <x v="1"/>
    <x v="8"/>
    <x v="5"/>
    <x v="0"/>
  </r>
  <r>
    <x v="3"/>
    <x v="1"/>
    <x v="43"/>
    <x v="0"/>
    <x v="43"/>
    <x v="15"/>
    <x v="194"/>
    <x v="17"/>
    <x v="2"/>
    <x v="5"/>
    <x v="5"/>
    <x v="2"/>
    <x v="0"/>
  </r>
  <r>
    <x v="4"/>
    <x v="1"/>
    <x v="20"/>
    <x v="2"/>
    <x v="17"/>
    <x v="6"/>
    <x v="144"/>
    <x v="4"/>
    <x v="2"/>
    <x v="6"/>
    <x v="9"/>
    <x v="6"/>
    <x v="0"/>
  </r>
  <r>
    <x v="0"/>
    <x v="1"/>
    <x v="35"/>
    <x v="2"/>
    <x v="14"/>
    <x v="7"/>
    <x v="89"/>
    <x v="5"/>
    <x v="0"/>
    <x v="2"/>
    <x v="5"/>
    <x v="9"/>
    <x v="0"/>
  </r>
  <r>
    <x v="3"/>
    <x v="0"/>
    <x v="52"/>
    <x v="2"/>
    <x v="50"/>
    <x v="15"/>
    <x v="102"/>
    <x v="2"/>
    <x v="2"/>
    <x v="4"/>
    <x v="4"/>
    <x v="2"/>
    <x v="0"/>
  </r>
  <r>
    <x v="0"/>
    <x v="0"/>
    <x v="59"/>
    <x v="2"/>
    <x v="18"/>
    <x v="13"/>
    <x v="142"/>
    <x v="6"/>
    <x v="0"/>
    <x v="9"/>
    <x v="1"/>
    <x v="5"/>
    <x v="0"/>
  </r>
  <r>
    <x v="0"/>
    <x v="1"/>
    <x v="6"/>
    <x v="1"/>
    <x v="29"/>
    <x v="16"/>
    <x v="13"/>
    <x v="13"/>
    <x v="0"/>
    <x v="0"/>
    <x v="7"/>
    <x v="1"/>
    <x v="0"/>
  </r>
  <r>
    <x v="3"/>
    <x v="1"/>
    <x v="65"/>
    <x v="0"/>
    <x v="14"/>
    <x v="6"/>
    <x v="77"/>
    <x v="0"/>
    <x v="1"/>
    <x v="4"/>
    <x v="2"/>
    <x v="9"/>
    <x v="0"/>
  </r>
  <r>
    <x v="0"/>
    <x v="1"/>
    <x v="53"/>
    <x v="1"/>
    <x v="10"/>
    <x v="21"/>
    <x v="57"/>
    <x v="4"/>
    <x v="0"/>
    <x v="5"/>
    <x v="6"/>
    <x v="2"/>
    <x v="0"/>
  </r>
  <r>
    <x v="3"/>
    <x v="1"/>
    <x v="33"/>
    <x v="0"/>
    <x v="18"/>
    <x v="3"/>
    <x v="100"/>
    <x v="4"/>
    <x v="0"/>
    <x v="8"/>
    <x v="3"/>
    <x v="3"/>
    <x v="0"/>
  </r>
  <r>
    <x v="1"/>
    <x v="1"/>
    <x v="0"/>
    <x v="1"/>
    <x v="9"/>
    <x v="5"/>
    <x v="84"/>
    <x v="3"/>
    <x v="1"/>
    <x v="9"/>
    <x v="1"/>
    <x v="1"/>
    <x v="0"/>
  </r>
  <r>
    <x v="2"/>
    <x v="0"/>
    <x v="62"/>
    <x v="2"/>
    <x v="45"/>
    <x v="18"/>
    <x v="15"/>
    <x v="3"/>
    <x v="0"/>
    <x v="7"/>
    <x v="2"/>
    <x v="3"/>
    <x v="0"/>
  </r>
  <r>
    <x v="6"/>
    <x v="1"/>
    <x v="44"/>
    <x v="1"/>
    <x v="33"/>
    <x v="13"/>
    <x v="118"/>
    <x v="13"/>
    <x v="1"/>
    <x v="5"/>
    <x v="3"/>
    <x v="8"/>
    <x v="0"/>
  </r>
  <r>
    <x v="4"/>
    <x v="1"/>
    <x v="30"/>
    <x v="1"/>
    <x v="30"/>
    <x v="15"/>
    <x v="115"/>
    <x v="6"/>
    <x v="2"/>
    <x v="8"/>
    <x v="5"/>
    <x v="9"/>
    <x v="1"/>
  </r>
  <r>
    <x v="1"/>
    <x v="1"/>
    <x v="34"/>
    <x v="1"/>
    <x v="38"/>
    <x v="5"/>
    <x v="104"/>
    <x v="20"/>
    <x v="0"/>
    <x v="5"/>
    <x v="5"/>
    <x v="5"/>
    <x v="0"/>
  </r>
  <r>
    <x v="1"/>
    <x v="0"/>
    <x v="20"/>
    <x v="0"/>
    <x v="10"/>
    <x v="17"/>
    <x v="169"/>
    <x v="11"/>
    <x v="1"/>
    <x v="2"/>
    <x v="7"/>
    <x v="8"/>
    <x v="0"/>
  </r>
  <r>
    <x v="6"/>
    <x v="1"/>
    <x v="33"/>
    <x v="2"/>
    <x v="0"/>
    <x v="7"/>
    <x v="165"/>
    <x v="1"/>
    <x v="0"/>
    <x v="6"/>
    <x v="2"/>
    <x v="7"/>
    <x v="0"/>
  </r>
  <r>
    <x v="3"/>
    <x v="0"/>
    <x v="7"/>
    <x v="2"/>
    <x v="15"/>
    <x v="15"/>
    <x v="55"/>
    <x v="3"/>
    <x v="0"/>
    <x v="1"/>
    <x v="8"/>
    <x v="9"/>
    <x v="0"/>
  </r>
  <r>
    <x v="0"/>
    <x v="1"/>
    <x v="43"/>
    <x v="2"/>
    <x v="44"/>
    <x v="2"/>
    <x v="155"/>
    <x v="0"/>
    <x v="2"/>
    <x v="6"/>
    <x v="4"/>
    <x v="7"/>
    <x v="0"/>
  </r>
  <r>
    <x v="2"/>
    <x v="1"/>
    <x v="27"/>
    <x v="0"/>
    <x v="23"/>
    <x v="15"/>
    <x v="173"/>
    <x v="5"/>
    <x v="2"/>
    <x v="8"/>
    <x v="5"/>
    <x v="7"/>
    <x v="0"/>
  </r>
  <r>
    <x v="3"/>
    <x v="1"/>
    <x v="3"/>
    <x v="1"/>
    <x v="26"/>
    <x v="12"/>
    <x v="69"/>
    <x v="17"/>
    <x v="0"/>
    <x v="7"/>
    <x v="5"/>
    <x v="0"/>
    <x v="0"/>
  </r>
  <r>
    <x v="3"/>
    <x v="1"/>
    <x v="3"/>
    <x v="1"/>
    <x v="48"/>
    <x v="0"/>
    <x v="173"/>
    <x v="8"/>
    <x v="1"/>
    <x v="6"/>
    <x v="7"/>
    <x v="0"/>
    <x v="0"/>
  </r>
  <r>
    <x v="2"/>
    <x v="0"/>
    <x v="24"/>
    <x v="1"/>
    <x v="42"/>
    <x v="21"/>
    <x v="88"/>
    <x v="1"/>
    <x v="1"/>
    <x v="4"/>
    <x v="6"/>
    <x v="4"/>
    <x v="0"/>
  </r>
  <r>
    <x v="6"/>
    <x v="1"/>
    <x v="38"/>
    <x v="2"/>
    <x v="11"/>
    <x v="9"/>
    <x v="20"/>
    <x v="19"/>
    <x v="0"/>
    <x v="6"/>
    <x v="8"/>
    <x v="9"/>
    <x v="0"/>
  </r>
  <r>
    <x v="3"/>
    <x v="1"/>
    <x v="43"/>
    <x v="1"/>
    <x v="26"/>
    <x v="22"/>
    <x v="119"/>
    <x v="12"/>
    <x v="0"/>
    <x v="2"/>
    <x v="0"/>
    <x v="4"/>
    <x v="0"/>
  </r>
  <r>
    <x v="6"/>
    <x v="1"/>
    <x v="13"/>
    <x v="1"/>
    <x v="19"/>
    <x v="10"/>
    <x v="103"/>
    <x v="6"/>
    <x v="0"/>
    <x v="6"/>
    <x v="8"/>
    <x v="7"/>
    <x v="0"/>
  </r>
  <r>
    <x v="5"/>
    <x v="0"/>
    <x v="49"/>
    <x v="1"/>
    <x v="17"/>
    <x v="9"/>
    <x v="83"/>
    <x v="0"/>
    <x v="2"/>
    <x v="4"/>
    <x v="9"/>
    <x v="8"/>
    <x v="0"/>
  </r>
  <r>
    <x v="1"/>
    <x v="1"/>
    <x v="32"/>
    <x v="0"/>
    <x v="22"/>
    <x v="14"/>
    <x v="115"/>
    <x v="1"/>
    <x v="2"/>
    <x v="8"/>
    <x v="3"/>
    <x v="5"/>
    <x v="0"/>
  </r>
  <r>
    <x v="6"/>
    <x v="1"/>
    <x v="51"/>
    <x v="2"/>
    <x v="40"/>
    <x v="12"/>
    <x v="18"/>
    <x v="15"/>
    <x v="0"/>
    <x v="5"/>
    <x v="9"/>
    <x v="9"/>
    <x v="0"/>
  </r>
  <r>
    <x v="6"/>
    <x v="1"/>
    <x v="0"/>
    <x v="1"/>
    <x v="29"/>
    <x v="2"/>
    <x v="160"/>
    <x v="7"/>
    <x v="2"/>
    <x v="8"/>
    <x v="9"/>
    <x v="5"/>
    <x v="0"/>
  </r>
  <r>
    <x v="5"/>
    <x v="1"/>
    <x v="69"/>
    <x v="2"/>
    <x v="9"/>
    <x v="7"/>
    <x v="172"/>
    <x v="19"/>
    <x v="0"/>
    <x v="5"/>
    <x v="0"/>
    <x v="7"/>
    <x v="0"/>
  </r>
  <r>
    <x v="1"/>
    <x v="0"/>
    <x v="6"/>
    <x v="0"/>
    <x v="22"/>
    <x v="11"/>
    <x v="117"/>
    <x v="10"/>
    <x v="1"/>
    <x v="0"/>
    <x v="3"/>
    <x v="3"/>
    <x v="0"/>
  </r>
  <r>
    <x v="3"/>
    <x v="1"/>
    <x v="0"/>
    <x v="1"/>
    <x v="10"/>
    <x v="6"/>
    <x v="46"/>
    <x v="2"/>
    <x v="0"/>
    <x v="5"/>
    <x v="6"/>
    <x v="5"/>
    <x v="0"/>
  </r>
  <r>
    <x v="4"/>
    <x v="1"/>
    <x v="69"/>
    <x v="2"/>
    <x v="36"/>
    <x v="1"/>
    <x v="54"/>
    <x v="9"/>
    <x v="2"/>
    <x v="1"/>
    <x v="3"/>
    <x v="4"/>
    <x v="0"/>
  </r>
  <r>
    <x v="2"/>
    <x v="1"/>
    <x v="60"/>
    <x v="2"/>
    <x v="20"/>
    <x v="9"/>
    <x v="166"/>
    <x v="13"/>
    <x v="1"/>
    <x v="3"/>
    <x v="0"/>
    <x v="8"/>
    <x v="0"/>
  </r>
  <r>
    <x v="6"/>
    <x v="0"/>
    <x v="2"/>
    <x v="1"/>
    <x v="5"/>
    <x v="16"/>
    <x v="13"/>
    <x v="2"/>
    <x v="1"/>
    <x v="1"/>
    <x v="0"/>
    <x v="5"/>
    <x v="0"/>
  </r>
  <r>
    <x v="5"/>
    <x v="0"/>
    <x v="32"/>
    <x v="1"/>
    <x v="37"/>
    <x v="21"/>
    <x v="166"/>
    <x v="19"/>
    <x v="2"/>
    <x v="3"/>
    <x v="3"/>
    <x v="0"/>
    <x v="0"/>
  </r>
  <r>
    <x v="4"/>
    <x v="0"/>
    <x v="39"/>
    <x v="0"/>
    <x v="18"/>
    <x v="7"/>
    <x v="102"/>
    <x v="19"/>
    <x v="1"/>
    <x v="5"/>
    <x v="4"/>
    <x v="5"/>
    <x v="0"/>
  </r>
  <r>
    <x v="5"/>
    <x v="0"/>
    <x v="38"/>
    <x v="1"/>
    <x v="27"/>
    <x v="13"/>
    <x v="18"/>
    <x v="4"/>
    <x v="1"/>
    <x v="1"/>
    <x v="5"/>
    <x v="5"/>
    <x v="0"/>
  </r>
  <r>
    <x v="0"/>
    <x v="1"/>
    <x v="12"/>
    <x v="1"/>
    <x v="6"/>
    <x v="13"/>
    <x v="46"/>
    <x v="6"/>
    <x v="1"/>
    <x v="4"/>
    <x v="6"/>
    <x v="5"/>
    <x v="0"/>
  </r>
  <r>
    <x v="4"/>
    <x v="1"/>
    <x v="33"/>
    <x v="2"/>
    <x v="23"/>
    <x v="25"/>
    <x v="122"/>
    <x v="7"/>
    <x v="0"/>
    <x v="9"/>
    <x v="2"/>
    <x v="3"/>
    <x v="0"/>
  </r>
  <r>
    <x v="2"/>
    <x v="0"/>
    <x v="15"/>
    <x v="1"/>
    <x v="27"/>
    <x v="21"/>
    <x v="82"/>
    <x v="3"/>
    <x v="2"/>
    <x v="2"/>
    <x v="4"/>
    <x v="7"/>
    <x v="0"/>
  </r>
  <r>
    <x v="6"/>
    <x v="0"/>
    <x v="58"/>
    <x v="2"/>
    <x v="50"/>
    <x v="10"/>
    <x v="32"/>
    <x v="8"/>
    <x v="0"/>
    <x v="8"/>
    <x v="5"/>
    <x v="9"/>
    <x v="0"/>
  </r>
  <r>
    <x v="2"/>
    <x v="1"/>
    <x v="54"/>
    <x v="2"/>
    <x v="7"/>
    <x v="21"/>
    <x v="42"/>
    <x v="12"/>
    <x v="2"/>
    <x v="2"/>
    <x v="2"/>
    <x v="5"/>
    <x v="0"/>
  </r>
  <r>
    <x v="6"/>
    <x v="0"/>
    <x v="62"/>
    <x v="0"/>
    <x v="26"/>
    <x v="13"/>
    <x v="138"/>
    <x v="18"/>
    <x v="2"/>
    <x v="2"/>
    <x v="8"/>
    <x v="3"/>
    <x v="0"/>
  </r>
  <r>
    <x v="3"/>
    <x v="0"/>
    <x v="49"/>
    <x v="1"/>
    <x v="24"/>
    <x v="24"/>
    <x v="145"/>
    <x v="12"/>
    <x v="2"/>
    <x v="4"/>
    <x v="5"/>
    <x v="7"/>
    <x v="0"/>
  </r>
  <r>
    <x v="1"/>
    <x v="1"/>
    <x v="35"/>
    <x v="0"/>
    <x v="4"/>
    <x v="1"/>
    <x v="119"/>
    <x v="10"/>
    <x v="1"/>
    <x v="1"/>
    <x v="2"/>
    <x v="9"/>
    <x v="0"/>
  </r>
  <r>
    <x v="5"/>
    <x v="0"/>
    <x v="20"/>
    <x v="1"/>
    <x v="14"/>
    <x v="4"/>
    <x v="0"/>
    <x v="16"/>
    <x v="2"/>
    <x v="0"/>
    <x v="7"/>
    <x v="0"/>
    <x v="0"/>
  </r>
  <r>
    <x v="6"/>
    <x v="1"/>
    <x v="19"/>
    <x v="0"/>
    <x v="40"/>
    <x v="25"/>
    <x v="95"/>
    <x v="20"/>
    <x v="2"/>
    <x v="2"/>
    <x v="2"/>
    <x v="3"/>
    <x v="0"/>
  </r>
  <r>
    <x v="4"/>
    <x v="0"/>
    <x v="19"/>
    <x v="0"/>
    <x v="18"/>
    <x v="5"/>
    <x v="114"/>
    <x v="15"/>
    <x v="2"/>
    <x v="1"/>
    <x v="1"/>
    <x v="5"/>
    <x v="0"/>
  </r>
  <r>
    <x v="3"/>
    <x v="0"/>
    <x v="30"/>
    <x v="1"/>
    <x v="16"/>
    <x v="20"/>
    <x v="14"/>
    <x v="13"/>
    <x v="1"/>
    <x v="7"/>
    <x v="4"/>
    <x v="5"/>
    <x v="0"/>
  </r>
  <r>
    <x v="1"/>
    <x v="1"/>
    <x v="24"/>
    <x v="2"/>
    <x v="43"/>
    <x v="0"/>
    <x v="108"/>
    <x v="10"/>
    <x v="2"/>
    <x v="3"/>
    <x v="3"/>
    <x v="3"/>
    <x v="0"/>
  </r>
  <r>
    <x v="1"/>
    <x v="0"/>
    <x v="63"/>
    <x v="2"/>
    <x v="34"/>
    <x v="22"/>
    <x v="62"/>
    <x v="2"/>
    <x v="2"/>
    <x v="0"/>
    <x v="6"/>
    <x v="1"/>
    <x v="0"/>
  </r>
  <r>
    <x v="1"/>
    <x v="0"/>
    <x v="22"/>
    <x v="1"/>
    <x v="43"/>
    <x v="4"/>
    <x v="66"/>
    <x v="12"/>
    <x v="1"/>
    <x v="5"/>
    <x v="9"/>
    <x v="9"/>
    <x v="0"/>
  </r>
  <r>
    <x v="4"/>
    <x v="0"/>
    <x v="25"/>
    <x v="2"/>
    <x v="44"/>
    <x v="19"/>
    <x v="121"/>
    <x v="17"/>
    <x v="0"/>
    <x v="1"/>
    <x v="6"/>
    <x v="9"/>
    <x v="0"/>
  </r>
  <r>
    <x v="4"/>
    <x v="0"/>
    <x v="23"/>
    <x v="0"/>
    <x v="48"/>
    <x v="10"/>
    <x v="21"/>
    <x v="12"/>
    <x v="2"/>
    <x v="4"/>
    <x v="0"/>
    <x v="2"/>
    <x v="0"/>
  </r>
  <r>
    <x v="2"/>
    <x v="1"/>
    <x v="3"/>
    <x v="0"/>
    <x v="0"/>
    <x v="19"/>
    <x v="191"/>
    <x v="10"/>
    <x v="1"/>
    <x v="7"/>
    <x v="1"/>
    <x v="6"/>
    <x v="0"/>
  </r>
  <r>
    <x v="0"/>
    <x v="1"/>
    <x v="25"/>
    <x v="1"/>
    <x v="30"/>
    <x v="4"/>
    <x v="47"/>
    <x v="13"/>
    <x v="0"/>
    <x v="8"/>
    <x v="7"/>
    <x v="1"/>
    <x v="0"/>
  </r>
  <r>
    <x v="2"/>
    <x v="1"/>
    <x v="55"/>
    <x v="0"/>
    <x v="38"/>
    <x v="16"/>
    <x v="77"/>
    <x v="13"/>
    <x v="1"/>
    <x v="2"/>
    <x v="0"/>
    <x v="2"/>
    <x v="0"/>
  </r>
  <r>
    <x v="1"/>
    <x v="0"/>
    <x v="48"/>
    <x v="1"/>
    <x v="10"/>
    <x v="1"/>
    <x v="177"/>
    <x v="4"/>
    <x v="2"/>
    <x v="1"/>
    <x v="6"/>
    <x v="8"/>
    <x v="1"/>
  </r>
  <r>
    <x v="6"/>
    <x v="0"/>
    <x v="53"/>
    <x v="1"/>
    <x v="13"/>
    <x v="6"/>
    <x v="131"/>
    <x v="13"/>
    <x v="1"/>
    <x v="7"/>
    <x v="1"/>
    <x v="1"/>
    <x v="0"/>
  </r>
  <r>
    <x v="6"/>
    <x v="1"/>
    <x v="8"/>
    <x v="0"/>
    <x v="46"/>
    <x v="5"/>
    <x v="120"/>
    <x v="14"/>
    <x v="2"/>
    <x v="3"/>
    <x v="9"/>
    <x v="4"/>
    <x v="0"/>
  </r>
  <r>
    <x v="2"/>
    <x v="0"/>
    <x v="23"/>
    <x v="2"/>
    <x v="34"/>
    <x v="25"/>
    <x v="49"/>
    <x v="2"/>
    <x v="2"/>
    <x v="8"/>
    <x v="2"/>
    <x v="2"/>
    <x v="0"/>
  </r>
  <r>
    <x v="4"/>
    <x v="1"/>
    <x v="11"/>
    <x v="0"/>
    <x v="45"/>
    <x v="19"/>
    <x v="140"/>
    <x v="19"/>
    <x v="0"/>
    <x v="3"/>
    <x v="2"/>
    <x v="6"/>
    <x v="0"/>
  </r>
  <r>
    <x v="5"/>
    <x v="0"/>
    <x v="21"/>
    <x v="2"/>
    <x v="1"/>
    <x v="13"/>
    <x v="168"/>
    <x v="14"/>
    <x v="1"/>
    <x v="9"/>
    <x v="2"/>
    <x v="6"/>
    <x v="0"/>
  </r>
  <r>
    <x v="0"/>
    <x v="1"/>
    <x v="65"/>
    <x v="2"/>
    <x v="19"/>
    <x v="24"/>
    <x v="185"/>
    <x v="1"/>
    <x v="1"/>
    <x v="2"/>
    <x v="1"/>
    <x v="0"/>
    <x v="0"/>
  </r>
  <r>
    <x v="3"/>
    <x v="0"/>
    <x v="40"/>
    <x v="2"/>
    <x v="33"/>
    <x v="5"/>
    <x v="102"/>
    <x v="4"/>
    <x v="1"/>
    <x v="9"/>
    <x v="7"/>
    <x v="3"/>
    <x v="0"/>
  </r>
  <r>
    <x v="5"/>
    <x v="1"/>
    <x v="4"/>
    <x v="1"/>
    <x v="35"/>
    <x v="14"/>
    <x v="115"/>
    <x v="7"/>
    <x v="2"/>
    <x v="5"/>
    <x v="3"/>
    <x v="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52A76C-D23D-45B1-8377-238D0ADA9E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6:D18" firstHeaderRow="0" firstDataRow="1" firstDataCol="1"/>
  <pivotFields count="13">
    <pivotField showAll="0"/>
    <pivotField showAll="0"/>
    <pivotField dataField="1" showAll="0">
      <items count="72">
        <item x="70"/>
        <item x="43"/>
        <item x="17"/>
        <item x="2"/>
        <item x="63"/>
        <item x="14"/>
        <item x="25"/>
        <item x="65"/>
        <item x="47"/>
        <item x="1"/>
        <item x="23"/>
        <item x="56"/>
        <item x="67"/>
        <item x="21"/>
        <item x="22"/>
        <item x="5"/>
        <item x="44"/>
        <item x="26"/>
        <item x="66"/>
        <item x="36"/>
        <item x="58"/>
        <item x="15"/>
        <item x="50"/>
        <item x="7"/>
        <item x="18"/>
        <item x="35"/>
        <item x="13"/>
        <item x="68"/>
        <item x="55"/>
        <item x="40"/>
        <item x="6"/>
        <item x="19"/>
        <item x="64"/>
        <item x="39"/>
        <item x="57"/>
        <item x="34"/>
        <item x="28"/>
        <item x="4"/>
        <item x="29"/>
        <item x="9"/>
        <item x="27"/>
        <item x="49"/>
        <item x="33"/>
        <item x="20"/>
        <item x="45"/>
        <item x="69"/>
        <item x="46"/>
        <item x="12"/>
        <item x="37"/>
        <item x="62"/>
        <item x="54"/>
        <item x="61"/>
        <item x="10"/>
        <item x="30"/>
        <item x="31"/>
        <item x="52"/>
        <item x="24"/>
        <item x="16"/>
        <item x="11"/>
        <item x="42"/>
        <item x="59"/>
        <item x="38"/>
        <item x="8"/>
        <item x="32"/>
        <item x="3"/>
        <item x="41"/>
        <item x="60"/>
        <item x="51"/>
        <item x="53"/>
        <item x="0"/>
        <item x="48"/>
        <item t="default"/>
      </items>
    </pivotField>
    <pivotField showAll="0"/>
    <pivotField dataField="1" showAll="0"/>
    <pivotField showAll="0"/>
    <pivotField showAll="0"/>
    <pivotField showAll="0"/>
    <pivotField showAll="0"/>
    <pivotField showAll="0"/>
    <pivotField showAll="0"/>
    <pivotField showAll="0"/>
    <pivotField axis="axisRow" showAll="0">
      <items count="3">
        <item x="0"/>
        <item h="1" x="1"/>
        <item t="default"/>
      </items>
    </pivotField>
  </pivotFields>
  <rowFields count="1">
    <field x="12"/>
  </rowFields>
  <rowItems count="2">
    <i>
      <x/>
    </i>
    <i t="grand">
      <x/>
    </i>
  </rowItems>
  <colFields count="1">
    <field x="-2"/>
  </colFields>
  <colItems count="2">
    <i>
      <x/>
    </i>
    <i i="1">
      <x v="1"/>
    </i>
  </colItems>
  <dataFields count="2">
    <dataField name="Average of daily_social_media_hours" fld="2" subtotal="average" baseField="12" baseItem="0"/>
    <dataField name="Average of sleep_hours" fld="4" subtotal="average" baseField="12" baseItem="0"/>
  </dataField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67EA79-763C-4BDB-BF2F-3964956B888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B97:E105" firstHeaderRow="0" firstDataRow="1" firstDataCol="1" rowPageCount="1" colPageCount="1"/>
  <pivotFields count="13">
    <pivotField axis="axisRow" showAll="0">
      <items count="8">
        <item x="6"/>
        <item x="0"/>
        <item x="3"/>
        <item x="5"/>
        <item x="2"/>
        <item x="4"/>
        <item x="1"/>
        <item t="default"/>
      </items>
    </pivotField>
    <pivotField showAll="0"/>
    <pivotField showAll="0"/>
    <pivotField showAll="0">
      <items count="4">
        <item x="2"/>
        <item x="0"/>
        <item x="1"/>
        <item t="default"/>
      </items>
    </pivotField>
    <pivotField showAll="0">
      <items count="52">
        <item x="25"/>
        <item x="29"/>
        <item x="7"/>
        <item x="39"/>
        <item x="5"/>
        <item x="34"/>
        <item x="17"/>
        <item x="10"/>
        <item x="30"/>
        <item x="4"/>
        <item x="8"/>
        <item x="31"/>
        <item x="42"/>
        <item x="14"/>
        <item x="44"/>
        <item x="24"/>
        <item x="21"/>
        <item x="12"/>
        <item x="9"/>
        <item x="13"/>
        <item x="41"/>
        <item x="15"/>
        <item x="50"/>
        <item x="32"/>
        <item x="6"/>
        <item x="35"/>
        <item x="45"/>
        <item x="18"/>
        <item x="16"/>
        <item x="3"/>
        <item x="37"/>
        <item x="20"/>
        <item x="11"/>
        <item x="23"/>
        <item x="0"/>
        <item x="40"/>
        <item x="2"/>
        <item x="27"/>
        <item x="22"/>
        <item x="47"/>
        <item x="1"/>
        <item x="46"/>
        <item x="36"/>
        <item x="49"/>
        <item x="38"/>
        <item x="33"/>
        <item x="26"/>
        <item x="19"/>
        <item x="28"/>
        <item x="48"/>
        <item x="43"/>
        <item t="default"/>
      </items>
    </pivotField>
    <pivotField showAll="0">
      <items count="27">
        <item x="1"/>
        <item x="11"/>
        <item x="24"/>
        <item x="10"/>
        <item x="16"/>
        <item x="14"/>
        <item x="9"/>
        <item x="15"/>
        <item x="18"/>
        <item x="12"/>
        <item x="6"/>
        <item x="2"/>
        <item x="25"/>
        <item x="20"/>
        <item x="13"/>
        <item x="19"/>
        <item x="5"/>
        <item x="21"/>
        <item x="22"/>
        <item x="4"/>
        <item x="7"/>
        <item x="8"/>
        <item x="23"/>
        <item x="17"/>
        <item x="0"/>
        <item x="3"/>
        <item t="default"/>
      </items>
    </pivotField>
    <pivotField showAll="0">
      <items count="202">
        <item x="199"/>
        <item x="31"/>
        <item x="10"/>
        <item x="50"/>
        <item x="7"/>
        <item x="167"/>
        <item x="35"/>
        <item x="166"/>
        <item x="186"/>
        <item x="141"/>
        <item x="128"/>
        <item x="15"/>
        <item x="168"/>
        <item x="145"/>
        <item x="111"/>
        <item x="23"/>
        <item x="51"/>
        <item x="96"/>
        <item x="177"/>
        <item x="69"/>
        <item x="150"/>
        <item x="92"/>
        <item x="40"/>
        <item x="143"/>
        <item x="18"/>
        <item x="190"/>
        <item x="125"/>
        <item x="42"/>
        <item x="139"/>
        <item x="89"/>
        <item x="48"/>
        <item x="29"/>
        <item x="116"/>
        <item x="179"/>
        <item x="172"/>
        <item x="188"/>
        <item x="41"/>
        <item x="4"/>
        <item x="19"/>
        <item x="67"/>
        <item x="6"/>
        <item x="103"/>
        <item x="156"/>
        <item x="34"/>
        <item x="151"/>
        <item x="58"/>
        <item x="132"/>
        <item x="108"/>
        <item x="142"/>
        <item x="163"/>
        <item x="114"/>
        <item x="110"/>
        <item x="120"/>
        <item x="22"/>
        <item x="144"/>
        <item x="63"/>
        <item x="55"/>
        <item x="79"/>
        <item x="137"/>
        <item x="14"/>
        <item x="134"/>
        <item x="68"/>
        <item x="104"/>
        <item x="5"/>
        <item x="24"/>
        <item x="49"/>
        <item x="130"/>
        <item x="27"/>
        <item x="170"/>
        <item x="101"/>
        <item x="109"/>
        <item x="127"/>
        <item x="157"/>
        <item x="60"/>
        <item x="160"/>
        <item x="83"/>
        <item x="140"/>
        <item x="74"/>
        <item x="153"/>
        <item x="93"/>
        <item x="56"/>
        <item x="171"/>
        <item x="169"/>
        <item x="59"/>
        <item x="33"/>
        <item x="154"/>
        <item x="184"/>
        <item x="187"/>
        <item x="182"/>
        <item x="183"/>
        <item x="194"/>
        <item x="115"/>
        <item x="162"/>
        <item x="148"/>
        <item x="106"/>
        <item x="70"/>
        <item x="21"/>
        <item x="47"/>
        <item x="88"/>
        <item x="13"/>
        <item x="61"/>
        <item x="0"/>
        <item x="195"/>
        <item x="99"/>
        <item x="152"/>
        <item x="28"/>
        <item x="118"/>
        <item x="39"/>
        <item x="16"/>
        <item x="181"/>
        <item x="98"/>
        <item x="135"/>
        <item x="95"/>
        <item x="66"/>
        <item x="198"/>
        <item x="54"/>
        <item x="9"/>
        <item x="158"/>
        <item x="100"/>
        <item x="102"/>
        <item x="121"/>
        <item x="123"/>
        <item x="1"/>
        <item x="200"/>
        <item x="43"/>
        <item x="112"/>
        <item x="25"/>
        <item x="30"/>
        <item x="149"/>
        <item x="11"/>
        <item x="46"/>
        <item x="131"/>
        <item x="81"/>
        <item x="122"/>
        <item x="155"/>
        <item x="124"/>
        <item x="86"/>
        <item x="175"/>
        <item x="193"/>
        <item x="173"/>
        <item x="72"/>
        <item x="64"/>
        <item x="37"/>
        <item x="45"/>
        <item x="189"/>
        <item x="133"/>
        <item x="176"/>
        <item x="73"/>
        <item x="3"/>
        <item x="159"/>
        <item x="12"/>
        <item x="80"/>
        <item x="136"/>
        <item x="57"/>
        <item x="146"/>
        <item x="113"/>
        <item x="85"/>
        <item x="52"/>
        <item x="126"/>
        <item x="38"/>
        <item x="77"/>
        <item x="117"/>
        <item x="161"/>
        <item x="192"/>
        <item x="71"/>
        <item x="44"/>
        <item x="78"/>
        <item x="129"/>
        <item x="119"/>
        <item x="20"/>
        <item x="76"/>
        <item x="65"/>
        <item x="82"/>
        <item x="178"/>
        <item x="196"/>
        <item x="91"/>
        <item x="191"/>
        <item x="8"/>
        <item x="197"/>
        <item x="147"/>
        <item x="164"/>
        <item x="36"/>
        <item x="53"/>
        <item x="26"/>
        <item x="105"/>
        <item x="17"/>
        <item x="174"/>
        <item x="107"/>
        <item x="138"/>
        <item x="90"/>
        <item x="62"/>
        <item x="84"/>
        <item x="2"/>
        <item x="165"/>
        <item x="75"/>
        <item x="180"/>
        <item x="32"/>
        <item x="97"/>
        <item x="185"/>
        <item x="87"/>
        <item x="94"/>
        <item t="default"/>
      </items>
    </pivotField>
    <pivotField showAll="0">
      <items count="22">
        <item x="2"/>
        <item x="15"/>
        <item x="18"/>
        <item x="11"/>
        <item x="14"/>
        <item x="12"/>
        <item x="4"/>
        <item x="5"/>
        <item x="1"/>
        <item x="7"/>
        <item x="19"/>
        <item x="8"/>
        <item x="9"/>
        <item x="6"/>
        <item x="3"/>
        <item x="0"/>
        <item x="16"/>
        <item x="10"/>
        <item x="17"/>
        <item x="13"/>
        <item x="20"/>
        <item t="default"/>
      </items>
    </pivotField>
    <pivotField showAll="0">
      <items count="4">
        <item x="1"/>
        <item x="0"/>
        <item x="2"/>
        <item t="default"/>
      </items>
    </pivotField>
    <pivotField dataField="1" showAll="0"/>
    <pivotField dataField="1" showAll="0"/>
    <pivotField dataField="1" showAll="0"/>
    <pivotField axis="axisPage" showAll="0">
      <items count="3">
        <item x="0"/>
        <item x="1"/>
        <item t="default"/>
      </items>
    </pivotField>
  </pivotFields>
  <rowFields count="1">
    <field x="0"/>
  </rowFields>
  <rowItems count="8">
    <i>
      <x/>
    </i>
    <i>
      <x v="1"/>
    </i>
    <i>
      <x v="2"/>
    </i>
    <i>
      <x v="3"/>
    </i>
    <i>
      <x v="4"/>
    </i>
    <i>
      <x v="5"/>
    </i>
    <i>
      <x v="6"/>
    </i>
    <i t="grand">
      <x/>
    </i>
  </rowItems>
  <colFields count="1">
    <field x="-2"/>
  </colFields>
  <colItems count="3">
    <i>
      <x/>
    </i>
    <i i="1">
      <x v="1"/>
    </i>
    <i i="2">
      <x v="2"/>
    </i>
  </colItems>
  <pageFields count="1">
    <pageField fld="12" hier="-1"/>
  </pageFields>
  <dataFields count="3">
    <dataField name="Average of addiction_level" fld="11" subtotal="average" baseField="0" baseItem="0"/>
    <dataField name="Average of anxiety_level" fld="10" subtotal="average" baseField="0" baseItem="0"/>
    <dataField name="Average of stress_level" fld="9" subtotal="average" baseField="0" baseItem="0"/>
  </dataFields>
  <chartFormats count="6">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2" format="2" series="1">
      <pivotArea type="data" outline="0" fieldPosition="0">
        <references count="1">
          <reference field="4294967294" count="1" selected="0">
            <x v="2"/>
          </reference>
        </references>
      </pivotArea>
    </chartFormat>
    <chartFormat chart="45" format="18" series="1">
      <pivotArea type="data" outline="0" fieldPosition="0">
        <references count="1">
          <reference field="4294967294" count="1" selected="0">
            <x v="0"/>
          </reference>
        </references>
      </pivotArea>
    </chartFormat>
    <chartFormat chart="45" format="19" series="1">
      <pivotArea type="data" outline="0" fieldPosition="0">
        <references count="1">
          <reference field="4294967294" count="1" selected="0">
            <x v="1"/>
          </reference>
        </references>
      </pivotArea>
    </chartFormat>
    <chartFormat chart="45"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E5768A-79F4-48BF-855F-A3E73B6829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9:C13" firstHeaderRow="1" firstDataRow="1" firstDataCol="1"/>
  <pivotFields count="13">
    <pivotField showAll="0"/>
    <pivotField dataField="1" showAll="0">
      <items count="3">
        <item x="1"/>
        <item x="0"/>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gender" fld="1" subtotal="count" baseField="0" baseItem="0"/>
  </dataField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2"/>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3" count="1" selected="0">
            <x v="0"/>
          </reference>
        </references>
      </pivotArea>
    </chartFormat>
    <chartFormat chart="7" format="11">
      <pivotArea type="data" outline="0" fieldPosition="0">
        <references count="2">
          <reference field="4294967294" count="1" selected="0">
            <x v="0"/>
          </reference>
          <reference field="3" count="1" selected="0">
            <x v="2"/>
          </reference>
        </references>
      </pivotArea>
    </chartFormat>
    <chartFormat chart="16" format="15" series="1">
      <pivotArea type="data" outline="0" fieldPosition="0">
        <references count="1">
          <reference field="4294967294" count="1" selected="0">
            <x v="0"/>
          </reference>
        </references>
      </pivotArea>
    </chartFormat>
    <chartFormat chart="16" format="16">
      <pivotArea type="data" outline="0" fieldPosition="0">
        <references count="2">
          <reference field="4294967294" count="1" selected="0">
            <x v="0"/>
          </reference>
          <reference field="3" count="1" selected="0">
            <x v="0"/>
          </reference>
        </references>
      </pivotArea>
    </chartFormat>
    <chartFormat chart="16" format="17">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AD2254-A5F4-4A97-A83F-A8680DD3227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9:N40" firstHeaderRow="1" firstDataRow="1" firstDataCol="1"/>
  <pivotFields count="13">
    <pivotField showAll="0"/>
    <pivotField showAll="0"/>
    <pivotField axis="axisRow" showAll="0">
      <items count="72">
        <item x="70"/>
        <item x="43"/>
        <item x="17"/>
        <item x="2"/>
        <item x="63"/>
        <item x="14"/>
        <item x="25"/>
        <item x="65"/>
        <item x="47"/>
        <item x="1"/>
        <item x="23"/>
        <item x="56"/>
        <item x="67"/>
        <item x="21"/>
        <item x="22"/>
        <item x="5"/>
        <item x="44"/>
        <item x="26"/>
        <item x="66"/>
        <item x="36"/>
        <item x="58"/>
        <item x="15"/>
        <item x="50"/>
        <item x="7"/>
        <item x="18"/>
        <item x="35"/>
        <item x="13"/>
        <item x="68"/>
        <item x="55"/>
        <item x="40"/>
        <item x="6"/>
        <item x="19"/>
        <item x="64"/>
        <item x="39"/>
        <item x="57"/>
        <item x="34"/>
        <item x="28"/>
        <item x="4"/>
        <item x="29"/>
        <item x="9"/>
        <item x="27"/>
        <item x="49"/>
        <item x="33"/>
        <item x="20"/>
        <item x="45"/>
        <item x="69"/>
        <item x="46"/>
        <item x="12"/>
        <item x="37"/>
        <item x="62"/>
        <item x="54"/>
        <item x="61"/>
        <item x="10"/>
        <item x="30"/>
        <item x="31"/>
        <item x="52"/>
        <item x="24"/>
        <item x="16"/>
        <item x="11"/>
        <item x="42"/>
        <item x="59"/>
        <item x="38"/>
        <item x="8"/>
        <item x="32"/>
        <item x="3"/>
        <item x="41"/>
        <item x="60"/>
        <item x="51"/>
        <item x="53"/>
        <item x="0"/>
        <item x="48"/>
        <item t="default"/>
      </items>
    </pivotField>
    <pivotField showAll="0"/>
    <pivotField showAll="0" sortType="ascending">
      <items count="52">
        <item x="25"/>
        <item x="29"/>
        <item x="7"/>
        <item x="39"/>
        <item x="5"/>
        <item x="34"/>
        <item x="17"/>
        <item x="10"/>
        <item x="30"/>
        <item x="4"/>
        <item x="8"/>
        <item x="31"/>
        <item x="42"/>
        <item x="14"/>
        <item x="44"/>
        <item x="24"/>
        <item x="21"/>
        <item x="12"/>
        <item x="9"/>
        <item x="13"/>
        <item x="41"/>
        <item x="15"/>
        <item x="50"/>
        <item x="32"/>
        <item x="6"/>
        <item x="35"/>
        <item x="45"/>
        <item x="18"/>
        <item x="16"/>
        <item x="3"/>
        <item x="37"/>
        <item x="20"/>
        <item x="11"/>
        <item x="23"/>
        <item x="0"/>
        <item x="40"/>
        <item x="2"/>
        <item x="27"/>
        <item x="22"/>
        <item x="47"/>
        <item x="1"/>
        <item x="46"/>
        <item x="36"/>
        <item x="49"/>
        <item x="38"/>
        <item x="33"/>
        <item x="26"/>
        <item x="19"/>
        <item x="28"/>
        <item x="48"/>
        <item x="43"/>
        <item t="default"/>
      </items>
    </pivotField>
    <pivotField showAll="0"/>
    <pivotField showAll="0"/>
    <pivotField showAll="0"/>
    <pivotField showAll="0"/>
    <pivotField showAll="0"/>
    <pivotField showAll="0"/>
    <pivotField showAll="0"/>
    <pivotField dataField="1" showAll="0">
      <items count="3">
        <item x="0"/>
        <item x="1"/>
        <item t="default"/>
      </items>
    </pivotField>
  </pivotFields>
  <rowFields count="1">
    <field x="2"/>
  </rowFields>
  <rowItems count="11">
    <i>
      <x v="61"/>
    </i>
    <i>
      <x v="62"/>
    </i>
    <i>
      <x v="63"/>
    </i>
    <i>
      <x v="64"/>
    </i>
    <i>
      <x v="65"/>
    </i>
    <i>
      <x v="66"/>
    </i>
    <i>
      <x v="67"/>
    </i>
    <i>
      <x v="68"/>
    </i>
    <i>
      <x v="69"/>
    </i>
    <i>
      <x v="70"/>
    </i>
    <i t="grand">
      <x/>
    </i>
  </rowItems>
  <colItems count="1">
    <i/>
  </colItems>
  <dataFields count="1">
    <dataField name="Sum of depression_label" fld="12" baseField="0" baseItem="0"/>
  </dataFields>
  <pivotTableStyleInfo name="PivotStyleLight16" showRowHeaders="1" showColHeaders="1" showRowStripes="0" showColStripes="0" showLastColumn="1"/>
  <filters count="2">
    <filter fld="2" type="captionBetween" evalOrder="-1" id="10" stringValue1="7.1" stringValue2="9">
      <autoFilter ref="A1">
        <filterColumn colId="0">
          <customFilters and="1">
            <customFilter operator="greaterThanOrEqual" val="7.1"/>
            <customFilter operator="lessThanOrEqual" val="9"/>
          </customFilters>
        </filterColumn>
      </autoFilter>
    </filter>
    <filter fld="4" type="captionBetween" evalOrder="-1" id="1" stringValue1="4" stringValue2="5">
      <autoFilter ref="A1">
        <filterColumn colId="0">
          <customFilters and="1">
            <customFilter operator="greaterThanOrEqual" val="4"/>
            <customFilter operator="lessThanOrEqual" val="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1A1D53-7607-4923-AC4F-0CCDBA33A8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B2:C5" firstHeaderRow="1" firstDataRow="1" firstDataCol="1"/>
  <pivotFields count="13">
    <pivotField showAll="0"/>
    <pivotField axis="axisRow" showAll="0">
      <items count="3">
        <item x="1"/>
        <item x="0"/>
        <item t="default"/>
      </items>
    </pivotField>
    <pivotField showAll="0"/>
    <pivotField dataField="1" showAll="0">
      <items count="4">
        <item x="2"/>
        <item x="0"/>
        <item x="1"/>
        <item t="default"/>
      </items>
    </pivotField>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platform_usage" fld="3" subtotal="count" baseField="0" baseItem="0"/>
  </dataFields>
  <chartFormats count="1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1"/>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1" count="1" selected="0">
            <x v="0"/>
          </reference>
        </references>
      </pivotArea>
    </chartFormat>
    <chartFormat chart="8" format="5">
      <pivotArea type="data" outline="0" fieldPosition="0">
        <references count="2">
          <reference field="4294967294" count="1" selected="0">
            <x v="0"/>
          </reference>
          <reference field="1"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 chart="28" format="18" series="1">
      <pivotArea type="data" outline="0" fieldPosition="0">
        <references count="1">
          <reference field="4294967294" count="1" selected="0">
            <x v="0"/>
          </reference>
        </references>
      </pivotArea>
    </chartFormat>
    <chartFormat chart="28" format="19">
      <pivotArea type="data" outline="0" fieldPosition="0">
        <references count="2">
          <reference field="4294967294" count="1" selected="0">
            <x v="0"/>
          </reference>
          <reference field="1" count="1" selected="0">
            <x v="0"/>
          </reference>
        </references>
      </pivotArea>
    </chartFormat>
    <chartFormat chart="28" format="20">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2558B9-95C3-4981-B7F9-D1504DCF887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9:K91" firstHeaderRow="1" firstDataRow="1" firstDataCol="1"/>
  <pivotFields count="13">
    <pivotField showAll="0"/>
    <pivotField showAll="0"/>
    <pivotField axis="axisRow" showAll="0">
      <items count="72">
        <item x="70"/>
        <item x="43"/>
        <item x="17"/>
        <item x="2"/>
        <item x="63"/>
        <item x="14"/>
        <item x="25"/>
        <item x="65"/>
        <item x="47"/>
        <item x="1"/>
        <item x="23"/>
        <item x="56"/>
        <item x="67"/>
        <item x="21"/>
        <item x="22"/>
        <item x="5"/>
        <item x="44"/>
        <item x="26"/>
        <item x="66"/>
        <item x="36"/>
        <item x="58"/>
        <item x="15"/>
        <item x="50"/>
        <item x="7"/>
        <item x="18"/>
        <item x="35"/>
        <item x="13"/>
        <item x="68"/>
        <item x="55"/>
        <item x="40"/>
        <item x="6"/>
        <item x="19"/>
        <item x="64"/>
        <item x="39"/>
        <item x="57"/>
        <item x="34"/>
        <item x="28"/>
        <item x="4"/>
        <item x="29"/>
        <item x="9"/>
        <item x="27"/>
        <item x="49"/>
        <item x="33"/>
        <item x="20"/>
        <item x="45"/>
        <item x="69"/>
        <item x="46"/>
        <item x="12"/>
        <item x="37"/>
        <item x="62"/>
        <item x="54"/>
        <item x="61"/>
        <item x="10"/>
        <item x="30"/>
        <item x="31"/>
        <item x="52"/>
        <item x="24"/>
        <item x="16"/>
        <item x="11"/>
        <item x="42"/>
        <item x="59"/>
        <item x="38"/>
        <item x="8"/>
        <item x="32"/>
        <item x="3"/>
        <item x="41"/>
        <item x="60"/>
        <item x="51"/>
        <item x="53"/>
        <item x="0"/>
        <item x="48"/>
        <item t="default"/>
      </items>
    </pivotField>
    <pivotField showAll="0"/>
    <pivotField showAll="0" sortType="ascending">
      <items count="52">
        <item x="25"/>
        <item x="29"/>
        <item x="7"/>
        <item x="39"/>
        <item x="5"/>
        <item x="34"/>
        <item x="17"/>
        <item x="10"/>
        <item x="30"/>
        <item x="4"/>
        <item x="8"/>
        <item x="31"/>
        <item x="42"/>
        <item x="14"/>
        <item x="44"/>
        <item x="24"/>
        <item x="21"/>
        <item x="12"/>
        <item x="9"/>
        <item x="13"/>
        <item x="41"/>
        <item x="15"/>
        <item x="50"/>
        <item x="32"/>
        <item x="6"/>
        <item x="35"/>
        <item x="45"/>
        <item x="18"/>
        <item x="16"/>
        <item x="3"/>
        <item x="37"/>
        <item x="20"/>
        <item x="11"/>
        <item x="23"/>
        <item x="0"/>
        <item x="40"/>
        <item x="2"/>
        <item x="27"/>
        <item x="22"/>
        <item x="47"/>
        <item x="1"/>
        <item x="46"/>
        <item x="36"/>
        <item x="49"/>
        <item x="38"/>
        <item x="33"/>
        <item x="26"/>
        <item x="19"/>
        <item x="28"/>
        <item x="48"/>
        <item x="43"/>
        <item t="default"/>
      </items>
    </pivotField>
    <pivotField showAll="0"/>
    <pivotField showAll="0"/>
    <pivotField showAll="0"/>
    <pivotField showAll="0"/>
    <pivotField showAll="0"/>
    <pivotField showAll="0"/>
    <pivotField showAll="0"/>
    <pivotField dataField="1" showAll="0">
      <items count="3">
        <item x="0"/>
        <item x="1"/>
        <item t="default"/>
      </items>
    </pivotField>
  </pivotFields>
  <rowFields count="1">
    <field x="2"/>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Sum of depression_label" fld="12" baseField="0" baseItem="0"/>
  </dataFields>
  <pivotTableStyleInfo name="PivotStyleLight16" showRowHeaders="1" showColHeaders="1" showRowStripes="0" showColStripes="0" showLastColumn="1"/>
  <filters count="2">
    <filter fld="2" type="captionBetween" evalOrder="-1" id="9" stringValue1="1" stringValue2="7">
      <autoFilter ref="A1">
        <filterColumn colId="0">
          <customFilters and="1">
            <customFilter operator="greaterThanOrEqual" val="1"/>
            <customFilter operator="lessThanOrEqual" val="7"/>
          </customFilters>
        </filterColumn>
      </autoFilter>
    </filter>
    <filter fld="4" type="captionBetween" evalOrder="-1" id="1" stringValue1="4" stringValue2="5">
      <autoFilter ref="A1">
        <filterColumn colId="0">
          <customFilters and="1">
            <customFilter operator="greaterThanOrEqual" val="4"/>
            <customFilter operator="lessThanOrEqual" val="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E836D8-65F1-4F10-AE4F-6822688A824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22:D25" firstHeaderRow="0" firstDataRow="1" firstDataCol="1"/>
  <pivotFields count="13">
    <pivotField showAll="0"/>
    <pivotField showAll="0"/>
    <pivotField dataField="1" showAll="0">
      <items count="72">
        <item x="70"/>
        <item x="43"/>
        <item x="17"/>
        <item x="2"/>
        <item x="63"/>
        <item x="14"/>
        <item x="25"/>
        <item x="65"/>
        <item x="47"/>
        <item x="1"/>
        <item x="23"/>
        <item x="56"/>
        <item x="67"/>
        <item x="21"/>
        <item x="22"/>
        <item x="5"/>
        <item x="44"/>
        <item x="26"/>
        <item x="66"/>
        <item x="36"/>
        <item x="58"/>
        <item x="15"/>
        <item x="50"/>
        <item x="7"/>
        <item x="18"/>
        <item x="35"/>
        <item x="13"/>
        <item x="68"/>
        <item x="55"/>
        <item x="40"/>
        <item x="6"/>
        <item x="19"/>
        <item x="64"/>
        <item x="39"/>
        <item x="57"/>
        <item x="34"/>
        <item x="28"/>
        <item x="4"/>
        <item x="29"/>
        <item x="9"/>
        <item x="27"/>
        <item x="49"/>
        <item x="33"/>
        <item x="20"/>
        <item x="45"/>
        <item x="69"/>
        <item x="46"/>
        <item x="12"/>
        <item x="37"/>
        <item x="62"/>
        <item x="54"/>
        <item x="61"/>
        <item x="10"/>
        <item x="30"/>
        <item x="31"/>
        <item x="52"/>
        <item x="24"/>
        <item x="16"/>
        <item x="11"/>
        <item x="42"/>
        <item x="59"/>
        <item x="38"/>
        <item x="8"/>
        <item x="32"/>
        <item x="3"/>
        <item x="41"/>
        <item x="60"/>
        <item x="51"/>
        <item x="53"/>
        <item x="0"/>
        <item x="48"/>
        <item t="default"/>
      </items>
    </pivotField>
    <pivotField showAll="0"/>
    <pivotField dataField="1" showAll="0"/>
    <pivotField showAll="0"/>
    <pivotField showAll="0"/>
    <pivotField showAll="0"/>
    <pivotField showAll="0"/>
    <pivotField showAll="0"/>
    <pivotField showAll="0"/>
    <pivotField showAll="0"/>
    <pivotField axis="axisRow" showAll="0">
      <items count="3">
        <item x="0"/>
        <item x="1"/>
        <item t="default"/>
      </items>
    </pivotField>
  </pivotFields>
  <rowFields count="1">
    <field x="12"/>
  </rowFields>
  <rowItems count="3">
    <i>
      <x/>
    </i>
    <i>
      <x v="1"/>
    </i>
    <i t="grand">
      <x/>
    </i>
  </rowItems>
  <colFields count="1">
    <field x="-2"/>
  </colFields>
  <colItems count="2">
    <i>
      <x/>
    </i>
    <i i="1">
      <x v="1"/>
    </i>
  </colItems>
  <dataFields count="2">
    <dataField name="Average of daily_social_media_hours" fld="2" subtotal="average" baseField="12" baseItem="0"/>
    <dataField name="Average of sleep_hours" fld="4" subtotal="average" baseField="12" baseItem="0"/>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26" format="10" series="1">
      <pivotArea type="data" outline="0" fieldPosition="0">
        <references count="1">
          <reference field="4294967294" count="1" selected="0">
            <x v="0"/>
          </reference>
        </references>
      </pivotArea>
    </chartFormat>
    <chartFormat chart="26"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75A9FA-9018-4478-A59F-10D4E00A107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129:C132" firstHeaderRow="1" firstDataRow="1" firstDataCol="1"/>
  <pivotFields count="13">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3">
    <i>
      <x/>
    </i>
    <i>
      <x v="1"/>
    </i>
    <i t="grand">
      <x/>
    </i>
  </rowItems>
  <colItems count="1">
    <i/>
  </colItems>
  <dataFields count="1">
    <dataField name="Sum of depression_label" fld="12" baseField="0" baseItem="0"/>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0"/>
          </reference>
        </references>
      </pivotArea>
    </chartFormat>
    <chartFormat chart="16" format="11" series="1">
      <pivotArea type="data" outline="0" fieldPosition="0">
        <references count="1">
          <reference field="4294967294" count="1" selected="0">
            <x v="0"/>
          </reference>
        </references>
      </pivotArea>
    </chartFormat>
    <chartFormat chart="16" format="12">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4921C9-E5AE-4238-B402-BF273236291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9:G60" firstHeaderRow="1" firstDataRow="1" firstDataCol="1"/>
  <pivotFields count="13">
    <pivotField showAll="0"/>
    <pivotField showAll="0"/>
    <pivotField showAll="0"/>
    <pivotField showAll="0"/>
    <pivotField axis="axisRow" showAll="0" sortType="ascending">
      <items count="52">
        <item x="25"/>
        <item x="29"/>
        <item x="7"/>
        <item x="39"/>
        <item x="5"/>
        <item x="34"/>
        <item x="17"/>
        <item x="10"/>
        <item x="30"/>
        <item x="4"/>
        <item x="8"/>
        <item x="31"/>
        <item x="42"/>
        <item x="14"/>
        <item x="44"/>
        <item x="24"/>
        <item x="21"/>
        <item x="12"/>
        <item x="9"/>
        <item x="13"/>
        <item x="41"/>
        <item x="15"/>
        <item x="50"/>
        <item x="32"/>
        <item x="6"/>
        <item x="35"/>
        <item x="45"/>
        <item x="18"/>
        <item x="16"/>
        <item x="3"/>
        <item x="37"/>
        <item x="20"/>
        <item x="11"/>
        <item x="23"/>
        <item x="0"/>
        <item x="40"/>
        <item x="2"/>
        <item x="27"/>
        <item x="22"/>
        <item x="47"/>
        <item x="1"/>
        <item x="46"/>
        <item x="36"/>
        <item x="49"/>
        <item x="38"/>
        <item x="33"/>
        <item x="26"/>
        <item x="19"/>
        <item x="28"/>
        <item x="48"/>
        <item x="43"/>
        <item t="default"/>
      </items>
    </pivotField>
    <pivotField showAll="0"/>
    <pivotField showAll="0"/>
    <pivotField showAll="0"/>
    <pivotField showAll="0"/>
    <pivotField showAll="0"/>
    <pivotField showAll="0"/>
    <pivotField showAll="0"/>
    <pivotField dataField="1" showAll="0">
      <items count="3">
        <item x="0"/>
        <item x="1"/>
        <item t="default"/>
      </items>
    </pivotField>
  </pivotFields>
  <rowFields count="1">
    <field x="4"/>
  </rowFields>
  <rowItems count="31">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depression_label" fld="12" baseField="0" baseItem="0"/>
  </dataFields>
  <pivotTableStyleInfo name="PivotStyleLight16" showRowHeaders="1" showColHeaders="1" showRowStripes="0" showColStripes="0" showLastColumn="1"/>
  <filters count="1">
    <filter fld="4" type="captionBetween" evalOrder="-1" id="2" stringValue1="5.1" stringValue2="8">
      <autoFilter ref="A1">
        <filterColumn colId="0">
          <customFilters and="1">
            <customFilter operator="greaterThanOrEqual" val="5.0999999999999996"/>
            <customFilter operator="lessThanOrEqual" val="8"/>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A2F3A4-F22E-4A61-99CF-271E262516D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121:C125" firstHeaderRow="1" firstDataRow="1" firstDataCol="1"/>
  <pivotFields count="13">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dataField="1" showAll="0"/>
  </pivotFields>
  <rowFields count="1">
    <field x="3"/>
  </rowFields>
  <rowItems count="4">
    <i>
      <x/>
    </i>
    <i>
      <x v="1"/>
    </i>
    <i>
      <x v="2"/>
    </i>
    <i t="grand">
      <x/>
    </i>
  </rowItems>
  <colItems count="1">
    <i/>
  </colItems>
  <dataFields count="1">
    <dataField name="Sum of depression_label" fld="12"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2"/>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0"/>
          </reference>
        </references>
      </pivotArea>
    </chartFormat>
    <chartFormat chart="16" format="24" series="1">
      <pivotArea type="data" outline="0" fieldPosition="0">
        <references count="1">
          <reference field="4294967294" count="1" selected="0">
            <x v="0"/>
          </reference>
        </references>
      </pivotArea>
    </chartFormat>
    <chartFormat chart="16" format="25">
      <pivotArea type="data" outline="0" fieldPosition="0">
        <references count="2">
          <reference field="4294967294" count="1" selected="0">
            <x v="0"/>
          </reference>
          <reference field="3" count="1" selected="0">
            <x v="0"/>
          </reference>
        </references>
      </pivotArea>
    </chartFormat>
    <chartFormat chart="16" format="26">
      <pivotArea type="data" outline="0" fieldPosition="0">
        <references count="2">
          <reference field="4294967294" count="1" selected="0">
            <x v="0"/>
          </reference>
          <reference field="3" count="1" selected="0">
            <x v="1"/>
          </reference>
        </references>
      </pivotArea>
    </chartFormat>
    <chartFormat chart="16" format="27">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F778FA-6068-4651-920C-3F0128E8D43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9:C41" firstHeaderRow="1" firstDataRow="1" firstDataCol="1"/>
  <pivotFields count="13">
    <pivotField showAll="0"/>
    <pivotField showAll="0"/>
    <pivotField showAll="0"/>
    <pivotField showAll="0"/>
    <pivotField axis="axisRow" showAll="0" sortType="ascending">
      <items count="52">
        <item x="25"/>
        <item x="29"/>
        <item x="7"/>
        <item x="39"/>
        <item x="5"/>
        <item x="34"/>
        <item x="17"/>
        <item x="10"/>
        <item x="30"/>
        <item x="4"/>
        <item x="8"/>
        <item x="31"/>
        <item x="42"/>
        <item x="14"/>
        <item x="44"/>
        <item x="24"/>
        <item x="21"/>
        <item x="12"/>
        <item x="9"/>
        <item x="13"/>
        <item x="41"/>
        <item x="15"/>
        <item x="50"/>
        <item x="32"/>
        <item x="6"/>
        <item x="35"/>
        <item x="45"/>
        <item x="18"/>
        <item x="16"/>
        <item x="3"/>
        <item x="37"/>
        <item x="20"/>
        <item x="11"/>
        <item x="23"/>
        <item x="0"/>
        <item x="40"/>
        <item x="2"/>
        <item x="27"/>
        <item x="22"/>
        <item x="47"/>
        <item x="1"/>
        <item x="46"/>
        <item x="36"/>
        <item x="49"/>
        <item x="38"/>
        <item x="33"/>
        <item x="26"/>
        <item x="19"/>
        <item x="28"/>
        <item x="48"/>
        <item x="43"/>
        <item t="default"/>
      </items>
    </pivotField>
    <pivotField showAll="0"/>
    <pivotField showAll="0"/>
    <pivotField showAll="0"/>
    <pivotField showAll="0"/>
    <pivotField showAll="0"/>
    <pivotField showAll="0"/>
    <pivotField showAll="0"/>
    <pivotField dataField="1" showAll="0">
      <items count="3">
        <item x="0"/>
        <item x="1"/>
        <item t="default"/>
      </items>
    </pivotField>
  </pivotFields>
  <rowFields count="1">
    <field x="4"/>
  </rowFields>
  <rowItems count="12">
    <i>
      <x/>
    </i>
    <i>
      <x v="1"/>
    </i>
    <i>
      <x v="2"/>
    </i>
    <i>
      <x v="3"/>
    </i>
    <i>
      <x v="4"/>
    </i>
    <i>
      <x v="5"/>
    </i>
    <i>
      <x v="6"/>
    </i>
    <i>
      <x v="7"/>
    </i>
    <i>
      <x v="8"/>
    </i>
    <i>
      <x v="9"/>
    </i>
    <i>
      <x v="10"/>
    </i>
    <i t="grand">
      <x/>
    </i>
  </rowItems>
  <colItems count="1">
    <i/>
  </colItems>
  <dataFields count="1">
    <dataField name="Sum of depression_label" fld="12" baseField="0" baseItem="0"/>
  </dataFields>
  <pivotTableStyleInfo name="PivotStyleLight16" showRowHeaders="1" showColHeaders="1" showRowStripes="0" showColStripes="0" showLastColumn="1"/>
  <filters count="1">
    <filter fld="4" type="captionBetween" evalOrder="-1" id="1" stringValue1="4" stringValue2="5">
      <autoFilter ref="A1">
        <filterColumn colId="0">
          <customFilters and="1">
            <customFilter operator="greaterThanOrEqual" val="4"/>
            <customFilter operator="lessThanOrEqual" val="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6B5BAF6-59E4-4132-9E6B-2C6C94205629}" sourceName="gender">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_usage" xr10:uid="{4AFDE325-BB3B-4FF4-99B8-D61E0102038A}" sourceName="platform_usage">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593E7E0-636F-4A8B-89CF-2F6EFC0581D4}" cache="Slicer_gender" caption="gender" rowHeight="257175"/>
  <slicer name="gender 1" xr10:uid="{50CA3363-D36A-4C29-BD60-172F6A28304A}" cache="Slicer_gender" caption="gender" rowHeight="257175"/>
  <slicer name="platform_usage" xr10:uid="{2486BE5A-A0BD-4C56-A36D-4CAB32D0DCC8}" cache="Slicer_platform_usage" caption="platform_usag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9BDF94-90E6-455C-B97E-9A54369D6E13}" name="Table2" displayName="Table2" ref="A1:M1201" totalsRowShown="0" headerRowDxfId="0" headerRowBorderDxfId="15" tableBorderDxfId="16" totalsRowBorderDxfId="14">
  <autoFilter ref="A1:M1201" xr:uid="{779BDF94-90E6-455C-B97E-9A54369D6E13}">
    <filterColumn colId="1">
      <filters>
        <filter val="female"/>
      </filters>
    </filterColumn>
    <filterColumn colId="3">
      <filters>
        <filter val="Instagram"/>
      </filters>
    </filterColumn>
  </autoFilter>
  <tableColumns count="13">
    <tableColumn id="1" xr3:uid="{6E446E65-78C0-4A25-BC6C-E12BCC0F2F44}" name="age" dataDxfId="13"/>
    <tableColumn id="2" xr3:uid="{5AE1F30C-90FD-4E50-979A-FC037E1ED7E5}" name="gender" dataDxfId="12"/>
    <tableColumn id="3" xr3:uid="{B848CED2-BD10-48D9-AE88-97EA0B948C6C}" name="daily_social_media_hours" dataDxfId="11"/>
    <tableColumn id="4" xr3:uid="{50C8DF6D-8E83-44E5-AF71-9ED702C1EF38}" name="platform_usage" dataDxfId="10"/>
    <tableColumn id="5" xr3:uid="{CC6250EA-2DF8-483F-974A-5B09C9204B0E}" name="sleep_hours" dataDxfId="9"/>
    <tableColumn id="6" xr3:uid="{61E20A8E-368C-4AC4-AECE-C80835BC6CBC}" name="screen_time_before_sleep" dataDxfId="8"/>
    <tableColumn id="7" xr3:uid="{827E197A-CE47-40AA-95AA-5CA8CBFA8DE8}" name="academic_performance" dataDxfId="7"/>
    <tableColumn id="8" xr3:uid="{77913F63-1E9F-4DA4-B802-4280FE66C034}" name="physical_activity" dataDxfId="6"/>
    <tableColumn id="9" xr3:uid="{DA55EC64-BDBB-4947-BD30-6EC45A6E2163}" name="social_interaction_level" dataDxfId="5"/>
    <tableColumn id="10" xr3:uid="{198E93EC-FED4-408F-ADFF-5363B98EF186}" name="stress_level" dataDxfId="4"/>
    <tableColumn id="11" xr3:uid="{1F4752CB-13C8-475A-930B-D88AB99B497C}" name="anxiety_level" dataDxfId="3"/>
    <tableColumn id="12" xr3:uid="{C2339256-4AD7-43C7-9D97-933E24EF192B}" name="addiction_level" dataDxfId="2"/>
    <tableColumn id="13" xr3:uid="{5958B58A-D3F6-4514-86CE-C24A5B92EFDE}" name="depression_label" dataDxfId="1"/>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E708E-8BF6-460E-80E5-8D90655078CD}">
  <dimension ref="A1:M1201"/>
  <sheetViews>
    <sheetView topLeftCell="A1181" workbookViewId="0">
      <selection sqref="A1:M1201"/>
    </sheetView>
  </sheetViews>
  <sheetFormatPr defaultRowHeight="15" x14ac:dyDescent="0.25"/>
  <sheetData>
    <row r="1" spans="1:13" x14ac:dyDescent="0.25">
      <c r="A1" t="s">
        <v>21</v>
      </c>
      <c r="B1" t="s">
        <v>22</v>
      </c>
      <c r="C1" t="s">
        <v>23</v>
      </c>
      <c r="D1" t="s">
        <v>24</v>
      </c>
      <c r="E1" t="s">
        <v>25</v>
      </c>
      <c r="F1" t="s">
        <v>26</v>
      </c>
      <c r="G1" t="s">
        <v>27</v>
      </c>
      <c r="H1" t="s">
        <v>28</v>
      </c>
      <c r="I1" t="s">
        <v>29</v>
      </c>
      <c r="J1" t="s">
        <v>30</v>
      </c>
      <c r="K1" t="s">
        <v>31</v>
      </c>
      <c r="L1" t="s">
        <v>32</v>
      </c>
      <c r="M1" t="s">
        <v>33</v>
      </c>
    </row>
    <row r="2" spans="1:13" x14ac:dyDescent="0.25">
      <c r="A2">
        <v>14</v>
      </c>
      <c r="B2" t="s">
        <v>34</v>
      </c>
      <c r="C2">
        <v>7.9</v>
      </c>
      <c r="D2" t="s">
        <v>35</v>
      </c>
      <c r="E2">
        <v>7.4</v>
      </c>
      <c r="F2">
        <v>2.9</v>
      </c>
      <c r="G2">
        <v>3.01</v>
      </c>
      <c r="H2">
        <v>1.5</v>
      </c>
      <c r="I2" t="s">
        <v>36</v>
      </c>
      <c r="J2">
        <v>2</v>
      </c>
      <c r="K2">
        <v>2</v>
      </c>
      <c r="L2">
        <v>1</v>
      </c>
      <c r="M2">
        <v>0</v>
      </c>
    </row>
    <row r="3" spans="1:13" x14ac:dyDescent="0.25">
      <c r="A3">
        <v>19</v>
      </c>
      <c r="B3" t="s">
        <v>37</v>
      </c>
      <c r="C3">
        <v>1.9</v>
      </c>
      <c r="D3" t="s">
        <v>38</v>
      </c>
      <c r="E3">
        <v>8</v>
      </c>
      <c r="F3">
        <v>2.9</v>
      </c>
      <c r="G3">
        <v>3.22</v>
      </c>
      <c r="H3">
        <v>0.8</v>
      </c>
      <c r="I3" t="s">
        <v>39</v>
      </c>
      <c r="J3">
        <v>8</v>
      </c>
      <c r="K3">
        <v>1</v>
      </c>
      <c r="L3">
        <v>10</v>
      </c>
      <c r="M3">
        <v>0</v>
      </c>
    </row>
    <row r="4" spans="1:13" x14ac:dyDescent="0.25">
      <c r="A4">
        <v>17</v>
      </c>
      <c r="B4" t="s">
        <v>37</v>
      </c>
      <c r="C4">
        <v>1.3</v>
      </c>
      <c r="D4" t="s">
        <v>35</v>
      </c>
      <c r="E4">
        <v>7.6</v>
      </c>
      <c r="F4">
        <v>0.5</v>
      </c>
      <c r="G4">
        <v>3.92</v>
      </c>
      <c r="H4">
        <v>0</v>
      </c>
      <c r="I4" t="s">
        <v>39</v>
      </c>
      <c r="J4">
        <v>2</v>
      </c>
      <c r="K4">
        <v>4</v>
      </c>
      <c r="L4">
        <v>2</v>
      </c>
      <c r="M4">
        <v>0</v>
      </c>
    </row>
    <row r="5" spans="1:13" x14ac:dyDescent="0.25">
      <c r="A5">
        <v>15</v>
      </c>
      <c r="B5" t="s">
        <v>34</v>
      </c>
      <c r="C5">
        <v>7.4</v>
      </c>
      <c r="D5" t="s">
        <v>38</v>
      </c>
      <c r="E5">
        <v>6.9</v>
      </c>
      <c r="F5">
        <v>1.6</v>
      </c>
      <c r="G5">
        <v>3.48</v>
      </c>
      <c r="H5">
        <v>0.8</v>
      </c>
      <c r="I5" t="s">
        <v>40</v>
      </c>
      <c r="J5">
        <v>1</v>
      </c>
      <c r="K5">
        <v>7</v>
      </c>
      <c r="L5">
        <v>9</v>
      </c>
      <c r="M5">
        <v>0</v>
      </c>
    </row>
    <row r="6" spans="1:13" x14ac:dyDescent="0.25">
      <c r="A6">
        <v>15</v>
      </c>
      <c r="B6" t="s">
        <v>37</v>
      </c>
      <c r="C6">
        <v>4.7</v>
      </c>
      <c r="D6" t="s">
        <v>41</v>
      </c>
      <c r="E6">
        <v>4.9000000000000004</v>
      </c>
      <c r="F6">
        <v>3</v>
      </c>
      <c r="G6">
        <v>2.37</v>
      </c>
      <c r="H6">
        <v>1.4</v>
      </c>
      <c r="I6" t="s">
        <v>40</v>
      </c>
      <c r="J6">
        <v>3</v>
      </c>
      <c r="K6">
        <v>5</v>
      </c>
      <c r="L6">
        <v>2</v>
      </c>
      <c r="M6">
        <v>0</v>
      </c>
    </row>
    <row r="7" spans="1:13" x14ac:dyDescent="0.25">
      <c r="A7">
        <v>19</v>
      </c>
      <c r="B7" t="s">
        <v>37</v>
      </c>
      <c r="C7">
        <v>7.4</v>
      </c>
      <c r="D7" t="s">
        <v>41</v>
      </c>
      <c r="E7">
        <v>4.4000000000000004</v>
      </c>
      <c r="F7">
        <v>2.4</v>
      </c>
      <c r="G7">
        <v>2.63</v>
      </c>
      <c r="H7">
        <v>0.6</v>
      </c>
      <c r="I7" t="s">
        <v>39</v>
      </c>
      <c r="J7">
        <v>3</v>
      </c>
      <c r="K7">
        <v>5</v>
      </c>
      <c r="L7">
        <v>7</v>
      </c>
      <c r="M7">
        <v>0</v>
      </c>
    </row>
    <row r="8" spans="1:13" x14ac:dyDescent="0.25">
      <c r="A8">
        <v>18</v>
      </c>
      <c r="B8" t="s">
        <v>37</v>
      </c>
      <c r="C8">
        <v>2.5</v>
      </c>
      <c r="D8" t="s">
        <v>35</v>
      </c>
      <c r="E8">
        <v>6.4</v>
      </c>
      <c r="F8">
        <v>2.4</v>
      </c>
      <c r="G8">
        <v>2.63</v>
      </c>
      <c r="H8">
        <v>0.7</v>
      </c>
      <c r="I8" t="s">
        <v>36</v>
      </c>
      <c r="J8">
        <v>2</v>
      </c>
      <c r="K8">
        <v>2</v>
      </c>
      <c r="L8">
        <v>5</v>
      </c>
      <c r="M8">
        <v>0</v>
      </c>
    </row>
    <row r="9" spans="1:13" x14ac:dyDescent="0.25">
      <c r="A9">
        <v>16</v>
      </c>
      <c r="B9" t="s">
        <v>34</v>
      </c>
      <c r="C9">
        <v>4</v>
      </c>
      <c r="D9" t="s">
        <v>41</v>
      </c>
      <c r="E9">
        <v>4.2</v>
      </c>
      <c r="F9">
        <v>0.5</v>
      </c>
      <c r="G9">
        <v>2.4</v>
      </c>
      <c r="H9">
        <v>1.3</v>
      </c>
      <c r="I9" t="s">
        <v>36</v>
      </c>
      <c r="J9">
        <v>6</v>
      </c>
      <c r="K9">
        <v>10</v>
      </c>
      <c r="L9">
        <v>5</v>
      </c>
      <c r="M9">
        <v>0</v>
      </c>
    </row>
    <row r="10" spans="1:13" x14ac:dyDescent="0.25">
      <c r="A10">
        <v>19</v>
      </c>
      <c r="B10" t="s">
        <v>37</v>
      </c>
      <c r="C10">
        <v>3.3</v>
      </c>
      <c r="D10" t="s">
        <v>38</v>
      </c>
      <c r="E10">
        <v>5</v>
      </c>
      <c r="F10">
        <v>2.1</v>
      </c>
      <c r="G10">
        <v>2.04</v>
      </c>
      <c r="H10">
        <v>0.9</v>
      </c>
      <c r="I10" t="s">
        <v>39</v>
      </c>
      <c r="J10">
        <v>1</v>
      </c>
      <c r="K10">
        <v>10</v>
      </c>
      <c r="L10">
        <v>9</v>
      </c>
      <c r="M10">
        <v>0</v>
      </c>
    </row>
    <row r="11" spans="1:13" x14ac:dyDescent="0.25">
      <c r="A11">
        <v>15</v>
      </c>
      <c r="B11" t="s">
        <v>34</v>
      </c>
      <c r="C11">
        <v>1.9</v>
      </c>
      <c r="D11" t="s">
        <v>38</v>
      </c>
      <c r="E11">
        <v>4.9000000000000004</v>
      </c>
      <c r="F11">
        <v>1.5</v>
      </c>
      <c r="G11">
        <v>3.77</v>
      </c>
      <c r="H11">
        <v>1.1000000000000001</v>
      </c>
      <c r="I11" t="s">
        <v>39</v>
      </c>
      <c r="J11">
        <v>1</v>
      </c>
      <c r="K11">
        <v>1</v>
      </c>
      <c r="L11">
        <v>4</v>
      </c>
      <c r="M11">
        <v>0</v>
      </c>
    </row>
    <row r="12" spans="1:13" x14ac:dyDescent="0.25">
      <c r="A12">
        <v>16</v>
      </c>
      <c r="B12" t="s">
        <v>34</v>
      </c>
      <c r="C12">
        <v>7.2</v>
      </c>
      <c r="D12" t="s">
        <v>41</v>
      </c>
      <c r="E12">
        <v>5.8</v>
      </c>
      <c r="F12">
        <v>2.9</v>
      </c>
      <c r="G12">
        <v>3.16</v>
      </c>
      <c r="H12">
        <v>1.2</v>
      </c>
      <c r="I12" t="s">
        <v>40</v>
      </c>
      <c r="J12">
        <v>5</v>
      </c>
      <c r="K12">
        <v>8</v>
      </c>
      <c r="L12">
        <v>9</v>
      </c>
      <c r="M12">
        <v>0</v>
      </c>
    </row>
    <row r="13" spans="1:13" x14ac:dyDescent="0.25">
      <c r="A13">
        <v>13</v>
      </c>
      <c r="B13" t="s">
        <v>34</v>
      </c>
      <c r="C13">
        <v>4.9000000000000004</v>
      </c>
      <c r="D13" t="s">
        <v>35</v>
      </c>
      <c r="E13">
        <v>4.7</v>
      </c>
      <c r="F13">
        <v>2.5</v>
      </c>
      <c r="G13">
        <v>3.92</v>
      </c>
      <c r="H13">
        <v>1.2</v>
      </c>
      <c r="I13" t="s">
        <v>36</v>
      </c>
      <c r="J13">
        <v>1</v>
      </c>
      <c r="K13">
        <v>10</v>
      </c>
      <c r="L13">
        <v>8</v>
      </c>
      <c r="M13">
        <v>0</v>
      </c>
    </row>
    <row r="14" spans="1:13" x14ac:dyDescent="0.25">
      <c r="A14">
        <v>16</v>
      </c>
      <c r="B14" t="s">
        <v>34</v>
      </c>
      <c r="C14">
        <v>6.2</v>
      </c>
      <c r="D14" t="s">
        <v>41</v>
      </c>
      <c r="E14">
        <v>7.2</v>
      </c>
      <c r="F14">
        <v>2.6</v>
      </c>
      <c r="G14">
        <v>2.02</v>
      </c>
      <c r="H14">
        <v>1.7</v>
      </c>
      <c r="I14" t="s">
        <v>40</v>
      </c>
      <c r="J14">
        <v>5</v>
      </c>
      <c r="K14">
        <v>7</v>
      </c>
      <c r="L14">
        <v>6</v>
      </c>
      <c r="M14">
        <v>0</v>
      </c>
    </row>
    <row r="15" spans="1:13" x14ac:dyDescent="0.25">
      <c r="A15">
        <v>17</v>
      </c>
      <c r="B15" t="s">
        <v>37</v>
      </c>
      <c r="C15">
        <v>6.8</v>
      </c>
      <c r="D15" t="s">
        <v>38</v>
      </c>
      <c r="E15">
        <v>5.7</v>
      </c>
      <c r="F15">
        <v>1.1000000000000001</v>
      </c>
      <c r="G15">
        <v>3.29</v>
      </c>
      <c r="H15">
        <v>1.3</v>
      </c>
      <c r="I15" t="s">
        <v>40</v>
      </c>
      <c r="J15">
        <v>1</v>
      </c>
      <c r="K15">
        <v>10</v>
      </c>
      <c r="L15">
        <v>10</v>
      </c>
      <c r="M15">
        <v>0</v>
      </c>
    </row>
    <row r="16" spans="1:13" x14ac:dyDescent="0.25">
      <c r="A16">
        <v>15</v>
      </c>
      <c r="B16" t="s">
        <v>34</v>
      </c>
      <c r="C16">
        <v>5.7</v>
      </c>
      <c r="D16" t="s">
        <v>38</v>
      </c>
      <c r="E16">
        <v>5.9</v>
      </c>
      <c r="F16">
        <v>0.8</v>
      </c>
      <c r="G16">
        <v>3.5</v>
      </c>
      <c r="H16">
        <v>0.7</v>
      </c>
      <c r="I16" t="s">
        <v>36</v>
      </c>
      <c r="J16">
        <v>1</v>
      </c>
      <c r="K16">
        <v>9</v>
      </c>
      <c r="L16">
        <v>1</v>
      </c>
      <c r="M16">
        <v>0</v>
      </c>
    </row>
    <row r="17" spans="1:13" x14ac:dyDescent="0.25">
      <c r="A17">
        <v>14</v>
      </c>
      <c r="B17" t="s">
        <v>37</v>
      </c>
      <c r="C17">
        <v>3.6</v>
      </c>
      <c r="D17" t="s">
        <v>41</v>
      </c>
      <c r="E17">
        <v>5.3</v>
      </c>
      <c r="F17">
        <v>0.6</v>
      </c>
      <c r="G17">
        <v>2.99</v>
      </c>
      <c r="H17">
        <v>0.3</v>
      </c>
      <c r="I17" t="s">
        <v>39</v>
      </c>
      <c r="J17">
        <v>4</v>
      </c>
      <c r="K17">
        <v>10</v>
      </c>
      <c r="L17">
        <v>2</v>
      </c>
      <c r="M17">
        <v>0</v>
      </c>
    </row>
    <row r="18" spans="1:13" x14ac:dyDescent="0.25">
      <c r="A18">
        <v>13</v>
      </c>
      <c r="B18" t="s">
        <v>34</v>
      </c>
      <c r="C18">
        <v>1.5</v>
      </c>
      <c r="D18" t="s">
        <v>41</v>
      </c>
      <c r="E18">
        <v>4.2</v>
      </c>
      <c r="F18">
        <v>1.4</v>
      </c>
      <c r="G18">
        <v>2.59</v>
      </c>
      <c r="H18">
        <v>0.5</v>
      </c>
      <c r="I18" t="s">
        <v>39</v>
      </c>
      <c r="J18">
        <v>4</v>
      </c>
      <c r="K18">
        <v>5</v>
      </c>
      <c r="L18">
        <v>8</v>
      </c>
      <c r="M18">
        <v>0</v>
      </c>
    </row>
    <row r="19" spans="1:13" x14ac:dyDescent="0.25">
      <c r="A19">
        <v>16</v>
      </c>
      <c r="B19" t="s">
        <v>34</v>
      </c>
      <c r="C19">
        <v>3.1</v>
      </c>
      <c r="D19" t="s">
        <v>41</v>
      </c>
      <c r="E19">
        <v>6.1</v>
      </c>
      <c r="F19">
        <v>0.8</v>
      </c>
      <c r="G19">
        <v>2.11</v>
      </c>
      <c r="H19">
        <v>1.9</v>
      </c>
      <c r="I19" t="s">
        <v>39</v>
      </c>
      <c r="J19">
        <v>10</v>
      </c>
      <c r="K19">
        <v>7</v>
      </c>
      <c r="L19">
        <v>10</v>
      </c>
      <c r="M19">
        <v>0</v>
      </c>
    </row>
    <row r="20" spans="1:13" x14ac:dyDescent="0.25">
      <c r="A20">
        <v>16</v>
      </c>
      <c r="B20" t="s">
        <v>37</v>
      </c>
      <c r="C20">
        <v>6.7</v>
      </c>
      <c r="D20" t="s">
        <v>41</v>
      </c>
      <c r="E20">
        <v>6.8</v>
      </c>
      <c r="F20">
        <v>1.9</v>
      </c>
      <c r="G20">
        <v>3.08</v>
      </c>
      <c r="H20">
        <v>1.4</v>
      </c>
      <c r="I20" t="s">
        <v>39</v>
      </c>
      <c r="J20">
        <v>10</v>
      </c>
      <c r="K20">
        <v>9</v>
      </c>
      <c r="L20">
        <v>1</v>
      </c>
      <c r="M20">
        <v>0</v>
      </c>
    </row>
    <row r="21" spans="1:13" x14ac:dyDescent="0.25">
      <c r="A21">
        <v>14</v>
      </c>
      <c r="B21" t="s">
        <v>37</v>
      </c>
      <c r="C21">
        <v>1.2</v>
      </c>
      <c r="D21" t="s">
        <v>35</v>
      </c>
      <c r="E21">
        <v>7.6</v>
      </c>
      <c r="F21">
        <v>1</v>
      </c>
      <c r="G21">
        <v>3.85</v>
      </c>
      <c r="H21">
        <v>0.8</v>
      </c>
      <c r="I21" t="s">
        <v>39</v>
      </c>
      <c r="J21">
        <v>8</v>
      </c>
      <c r="K21">
        <v>4</v>
      </c>
      <c r="L21">
        <v>6</v>
      </c>
      <c r="M21">
        <v>0</v>
      </c>
    </row>
    <row r="22" spans="1:13" x14ac:dyDescent="0.25">
      <c r="A22">
        <v>16</v>
      </c>
      <c r="B22" t="s">
        <v>34</v>
      </c>
      <c r="C22">
        <v>3.4</v>
      </c>
      <c r="D22" t="s">
        <v>38</v>
      </c>
      <c r="E22">
        <v>4.5999999999999996</v>
      </c>
      <c r="F22">
        <v>2.1</v>
      </c>
      <c r="G22">
        <v>2.2400000000000002</v>
      </c>
      <c r="H22">
        <v>0.4</v>
      </c>
      <c r="I22" t="s">
        <v>39</v>
      </c>
      <c r="J22">
        <v>4</v>
      </c>
      <c r="K22">
        <v>1</v>
      </c>
      <c r="L22">
        <v>3</v>
      </c>
      <c r="M22">
        <v>0</v>
      </c>
    </row>
    <row r="23" spans="1:13" x14ac:dyDescent="0.25">
      <c r="A23">
        <v>18</v>
      </c>
      <c r="B23" t="s">
        <v>34</v>
      </c>
      <c r="C23">
        <v>4.0999999999999996</v>
      </c>
      <c r="D23" t="s">
        <v>41</v>
      </c>
      <c r="E23">
        <v>7.4</v>
      </c>
      <c r="F23">
        <v>2.4</v>
      </c>
      <c r="G23">
        <v>2.38</v>
      </c>
      <c r="H23">
        <v>1.5</v>
      </c>
      <c r="I23" t="s">
        <v>40</v>
      </c>
      <c r="J23">
        <v>8</v>
      </c>
      <c r="K23">
        <v>4</v>
      </c>
      <c r="L23">
        <v>9</v>
      </c>
      <c r="M23">
        <v>0</v>
      </c>
    </row>
    <row r="24" spans="1:13" x14ac:dyDescent="0.25">
      <c r="A24">
        <v>18</v>
      </c>
      <c r="B24" t="s">
        <v>34</v>
      </c>
      <c r="C24">
        <v>5.3</v>
      </c>
      <c r="D24" t="s">
        <v>35</v>
      </c>
      <c r="E24">
        <v>4.9000000000000004</v>
      </c>
      <c r="F24">
        <v>1.2</v>
      </c>
      <c r="G24">
        <v>3.69</v>
      </c>
      <c r="H24">
        <v>1.2</v>
      </c>
      <c r="I24" t="s">
        <v>36</v>
      </c>
      <c r="J24">
        <v>5</v>
      </c>
      <c r="K24">
        <v>4</v>
      </c>
      <c r="L24">
        <v>5</v>
      </c>
      <c r="M24">
        <v>0</v>
      </c>
    </row>
    <row r="25" spans="1:13" x14ac:dyDescent="0.25">
      <c r="A25">
        <v>18</v>
      </c>
      <c r="B25" t="s">
        <v>37</v>
      </c>
      <c r="C25">
        <v>2.2999999999999998</v>
      </c>
      <c r="D25" t="s">
        <v>38</v>
      </c>
      <c r="E25">
        <v>7.6</v>
      </c>
      <c r="F25">
        <v>0.5</v>
      </c>
      <c r="G25">
        <v>2.96</v>
      </c>
      <c r="H25">
        <v>1.7</v>
      </c>
      <c r="I25" t="s">
        <v>40</v>
      </c>
      <c r="J25">
        <v>9</v>
      </c>
      <c r="K25">
        <v>8</v>
      </c>
      <c r="L25">
        <v>7</v>
      </c>
      <c r="M25">
        <v>0</v>
      </c>
    </row>
    <row r="26" spans="1:13" x14ac:dyDescent="0.25">
      <c r="A26">
        <v>18</v>
      </c>
      <c r="B26" t="s">
        <v>37</v>
      </c>
      <c r="C26">
        <v>2.4</v>
      </c>
      <c r="D26" t="s">
        <v>41</v>
      </c>
      <c r="E26">
        <v>6.7</v>
      </c>
      <c r="F26">
        <v>1.9</v>
      </c>
      <c r="G26">
        <v>2.5299999999999998</v>
      </c>
      <c r="H26">
        <v>0.4</v>
      </c>
      <c r="I26" t="s">
        <v>39</v>
      </c>
      <c r="J26">
        <v>8</v>
      </c>
      <c r="K26">
        <v>8</v>
      </c>
      <c r="L26">
        <v>2</v>
      </c>
      <c r="M26">
        <v>0</v>
      </c>
    </row>
    <row r="27" spans="1:13" x14ac:dyDescent="0.25">
      <c r="A27">
        <v>13</v>
      </c>
      <c r="B27" t="s">
        <v>37</v>
      </c>
      <c r="C27">
        <v>1.5</v>
      </c>
      <c r="D27" t="s">
        <v>41</v>
      </c>
      <c r="E27">
        <v>7.2</v>
      </c>
      <c r="F27">
        <v>2.5</v>
      </c>
      <c r="G27">
        <v>2.15</v>
      </c>
      <c r="H27">
        <v>1.3</v>
      </c>
      <c r="I27" t="s">
        <v>40</v>
      </c>
      <c r="J27">
        <v>4</v>
      </c>
      <c r="K27">
        <v>6</v>
      </c>
      <c r="L27">
        <v>2</v>
      </c>
      <c r="M27">
        <v>0</v>
      </c>
    </row>
    <row r="28" spans="1:13" x14ac:dyDescent="0.25">
      <c r="A28">
        <v>14</v>
      </c>
      <c r="B28" t="s">
        <v>37</v>
      </c>
      <c r="C28">
        <v>5.7</v>
      </c>
      <c r="D28" t="s">
        <v>41</v>
      </c>
      <c r="E28">
        <v>8.6999999999999993</v>
      </c>
      <c r="F28">
        <v>0.6</v>
      </c>
      <c r="G28">
        <v>2.64</v>
      </c>
      <c r="H28">
        <v>0.1</v>
      </c>
      <c r="I28" t="s">
        <v>36</v>
      </c>
      <c r="J28">
        <v>8</v>
      </c>
      <c r="K28">
        <v>9</v>
      </c>
      <c r="L28">
        <v>4</v>
      </c>
      <c r="M28">
        <v>0</v>
      </c>
    </row>
    <row r="29" spans="1:13" x14ac:dyDescent="0.25">
      <c r="A29">
        <v>19</v>
      </c>
      <c r="B29" t="s">
        <v>34</v>
      </c>
      <c r="C29">
        <v>2</v>
      </c>
      <c r="D29" t="s">
        <v>38</v>
      </c>
      <c r="E29">
        <v>7.1</v>
      </c>
      <c r="F29">
        <v>0.9</v>
      </c>
      <c r="G29">
        <v>3.26</v>
      </c>
      <c r="H29">
        <v>1.6</v>
      </c>
      <c r="I29" t="s">
        <v>39</v>
      </c>
      <c r="J29">
        <v>7</v>
      </c>
      <c r="K29">
        <v>5</v>
      </c>
      <c r="L29">
        <v>9</v>
      </c>
      <c r="M29">
        <v>0</v>
      </c>
    </row>
    <row r="30" spans="1:13" x14ac:dyDescent="0.25">
      <c r="A30">
        <v>14</v>
      </c>
      <c r="B30" t="s">
        <v>34</v>
      </c>
      <c r="C30">
        <v>2.5</v>
      </c>
      <c r="D30" t="s">
        <v>38</v>
      </c>
      <c r="E30">
        <v>5.6</v>
      </c>
      <c r="F30">
        <v>2.9</v>
      </c>
      <c r="G30">
        <v>2.2400000000000002</v>
      </c>
      <c r="H30">
        <v>0.5</v>
      </c>
      <c r="I30" t="s">
        <v>36</v>
      </c>
      <c r="J30">
        <v>3</v>
      </c>
      <c r="K30">
        <v>9</v>
      </c>
      <c r="L30">
        <v>5</v>
      </c>
      <c r="M30">
        <v>0</v>
      </c>
    </row>
    <row r="31" spans="1:13" x14ac:dyDescent="0.25">
      <c r="A31">
        <v>16</v>
      </c>
      <c r="B31" t="s">
        <v>37</v>
      </c>
      <c r="C31">
        <v>3.4</v>
      </c>
      <c r="D31" t="s">
        <v>38</v>
      </c>
      <c r="E31">
        <v>7.8</v>
      </c>
      <c r="F31">
        <v>2.8</v>
      </c>
      <c r="G31">
        <v>3.83</v>
      </c>
      <c r="H31">
        <v>1.8</v>
      </c>
      <c r="I31" t="s">
        <v>40</v>
      </c>
      <c r="J31">
        <v>6</v>
      </c>
      <c r="K31">
        <v>6</v>
      </c>
      <c r="L31">
        <v>4</v>
      </c>
      <c r="M31">
        <v>0</v>
      </c>
    </row>
    <row r="32" spans="1:13" x14ac:dyDescent="0.25">
      <c r="A32">
        <v>13</v>
      </c>
      <c r="B32" t="s">
        <v>34</v>
      </c>
      <c r="C32">
        <v>6.6</v>
      </c>
      <c r="D32" t="s">
        <v>38</v>
      </c>
      <c r="E32">
        <v>5.7</v>
      </c>
      <c r="F32">
        <v>2.5</v>
      </c>
      <c r="G32">
        <v>2.67</v>
      </c>
      <c r="H32">
        <v>1.1000000000000001</v>
      </c>
      <c r="I32" t="s">
        <v>36</v>
      </c>
      <c r="J32">
        <v>2</v>
      </c>
      <c r="K32">
        <v>1</v>
      </c>
      <c r="L32">
        <v>10</v>
      </c>
      <c r="M32">
        <v>0</v>
      </c>
    </row>
    <row r="33" spans="1:13" x14ac:dyDescent="0.25">
      <c r="A33">
        <v>13</v>
      </c>
      <c r="B33" t="s">
        <v>37</v>
      </c>
      <c r="C33">
        <v>1.6</v>
      </c>
      <c r="D33" t="s">
        <v>35</v>
      </c>
      <c r="E33">
        <v>8.6999999999999993</v>
      </c>
      <c r="F33">
        <v>2.5</v>
      </c>
      <c r="G33">
        <v>3.69</v>
      </c>
      <c r="H33">
        <v>0.4</v>
      </c>
      <c r="I33" t="s">
        <v>39</v>
      </c>
      <c r="J33">
        <v>8</v>
      </c>
      <c r="K33">
        <v>2</v>
      </c>
      <c r="L33">
        <v>9</v>
      </c>
      <c r="M33">
        <v>0</v>
      </c>
    </row>
    <row r="34" spans="1:13" x14ac:dyDescent="0.25">
      <c r="A34">
        <v>16</v>
      </c>
      <c r="B34" t="s">
        <v>34</v>
      </c>
      <c r="C34">
        <v>2.7</v>
      </c>
      <c r="D34" t="s">
        <v>35</v>
      </c>
      <c r="E34">
        <v>4.2</v>
      </c>
      <c r="F34">
        <v>2.4</v>
      </c>
      <c r="G34">
        <v>3.05</v>
      </c>
      <c r="H34">
        <v>0.2</v>
      </c>
      <c r="I34" t="s">
        <v>39</v>
      </c>
      <c r="J34">
        <v>1</v>
      </c>
      <c r="K34">
        <v>8</v>
      </c>
      <c r="L34">
        <v>4</v>
      </c>
      <c r="M34">
        <v>0</v>
      </c>
    </row>
    <row r="35" spans="1:13" x14ac:dyDescent="0.25">
      <c r="A35">
        <v>14</v>
      </c>
      <c r="B35" t="s">
        <v>34</v>
      </c>
      <c r="C35">
        <v>4.0999999999999996</v>
      </c>
      <c r="D35" t="s">
        <v>38</v>
      </c>
      <c r="E35">
        <v>8</v>
      </c>
      <c r="F35">
        <v>3</v>
      </c>
      <c r="G35">
        <v>2.31</v>
      </c>
      <c r="H35">
        <v>0.8</v>
      </c>
      <c r="I35" t="s">
        <v>36</v>
      </c>
      <c r="J35">
        <v>8</v>
      </c>
      <c r="K35">
        <v>4</v>
      </c>
      <c r="L35">
        <v>1</v>
      </c>
      <c r="M35">
        <v>0</v>
      </c>
    </row>
    <row r="36" spans="1:13" x14ac:dyDescent="0.25">
      <c r="A36">
        <v>13</v>
      </c>
      <c r="B36" t="s">
        <v>37</v>
      </c>
      <c r="C36">
        <v>6.6</v>
      </c>
      <c r="D36" t="s">
        <v>38</v>
      </c>
      <c r="E36">
        <v>7.3</v>
      </c>
      <c r="F36">
        <v>1.6</v>
      </c>
      <c r="G36">
        <v>3.27</v>
      </c>
      <c r="H36">
        <v>0.1</v>
      </c>
      <c r="I36" t="s">
        <v>40</v>
      </c>
      <c r="J36">
        <v>10</v>
      </c>
      <c r="K36">
        <v>2</v>
      </c>
      <c r="L36">
        <v>1</v>
      </c>
      <c r="M36">
        <v>0</v>
      </c>
    </row>
    <row r="37" spans="1:13" x14ac:dyDescent="0.25">
      <c r="A37">
        <v>17</v>
      </c>
      <c r="B37" t="s">
        <v>37</v>
      </c>
      <c r="C37">
        <v>5</v>
      </c>
      <c r="D37" t="s">
        <v>41</v>
      </c>
      <c r="E37">
        <v>4.9000000000000004</v>
      </c>
      <c r="F37">
        <v>2.1</v>
      </c>
      <c r="G37">
        <v>2.0099999999999998</v>
      </c>
      <c r="H37">
        <v>1</v>
      </c>
      <c r="I37" t="s">
        <v>36</v>
      </c>
      <c r="J37">
        <v>9</v>
      </c>
      <c r="K37">
        <v>4</v>
      </c>
      <c r="L37">
        <v>9</v>
      </c>
      <c r="M37">
        <v>0</v>
      </c>
    </row>
    <row r="38" spans="1:13" x14ac:dyDescent="0.25">
      <c r="A38">
        <v>19</v>
      </c>
      <c r="B38" t="s">
        <v>37</v>
      </c>
      <c r="C38">
        <v>4.5999999999999996</v>
      </c>
      <c r="D38" t="s">
        <v>35</v>
      </c>
      <c r="E38">
        <v>5.5</v>
      </c>
      <c r="F38">
        <v>2.5</v>
      </c>
      <c r="G38">
        <v>3.96</v>
      </c>
      <c r="H38">
        <v>0.8</v>
      </c>
      <c r="I38" t="s">
        <v>39</v>
      </c>
      <c r="J38">
        <v>3</v>
      </c>
      <c r="K38">
        <v>10</v>
      </c>
      <c r="L38">
        <v>7</v>
      </c>
      <c r="M38">
        <v>0</v>
      </c>
    </row>
    <row r="39" spans="1:13" x14ac:dyDescent="0.25">
      <c r="A39">
        <v>17</v>
      </c>
      <c r="B39" t="s">
        <v>37</v>
      </c>
      <c r="C39">
        <v>4.8</v>
      </c>
      <c r="D39" t="s">
        <v>35</v>
      </c>
      <c r="E39">
        <v>4.4000000000000004</v>
      </c>
      <c r="F39">
        <v>1.3</v>
      </c>
      <c r="G39">
        <v>2.02</v>
      </c>
      <c r="H39">
        <v>0.5</v>
      </c>
      <c r="I39" t="s">
        <v>36</v>
      </c>
      <c r="J39">
        <v>5</v>
      </c>
      <c r="K39">
        <v>10</v>
      </c>
      <c r="L39">
        <v>6</v>
      </c>
      <c r="M39">
        <v>0</v>
      </c>
    </row>
    <row r="40" spans="1:13" x14ac:dyDescent="0.25">
      <c r="A40">
        <v>17</v>
      </c>
      <c r="B40" t="s">
        <v>37</v>
      </c>
      <c r="C40">
        <v>1.3</v>
      </c>
      <c r="D40" t="s">
        <v>38</v>
      </c>
      <c r="E40">
        <v>8</v>
      </c>
      <c r="F40">
        <v>2</v>
      </c>
      <c r="G40">
        <v>2.84</v>
      </c>
      <c r="H40">
        <v>1.8</v>
      </c>
      <c r="I40" t="s">
        <v>39</v>
      </c>
      <c r="J40">
        <v>1</v>
      </c>
      <c r="K40">
        <v>7</v>
      </c>
      <c r="L40">
        <v>8</v>
      </c>
      <c r="M40">
        <v>0</v>
      </c>
    </row>
    <row r="41" spans="1:13" x14ac:dyDescent="0.25">
      <c r="A41">
        <v>17</v>
      </c>
      <c r="B41" t="s">
        <v>37</v>
      </c>
      <c r="C41">
        <v>6.3</v>
      </c>
      <c r="D41" t="s">
        <v>35</v>
      </c>
      <c r="E41">
        <v>4</v>
      </c>
      <c r="F41">
        <v>1</v>
      </c>
      <c r="G41">
        <v>2.4300000000000002</v>
      </c>
      <c r="H41">
        <v>1.2</v>
      </c>
      <c r="I41" t="s">
        <v>39</v>
      </c>
      <c r="J41">
        <v>1</v>
      </c>
      <c r="K41">
        <v>10</v>
      </c>
      <c r="L41">
        <v>9</v>
      </c>
      <c r="M41">
        <v>0</v>
      </c>
    </row>
    <row r="42" spans="1:13" x14ac:dyDescent="0.25">
      <c r="A42">
        <v>14</v>
      </c>
      <c r="B42" t="s">
        <v>34</v>
      </c>
      <c r="C42">
        <v>6.4</v>
      </c>
      <c r="D42" t="s">
        <v>35</v>
      </c>
      <c r="E42">
        <v>5.7</v>
      </c>
      <c r="F42">
        <v>0.9</v>
      </c>
      <c r="G42">
        <v>2.06</v>
      </c>
      <c r="H42">
        <v>1.8</v>
      </c>
      <c r="I42" t="s">
        <v>39</v>
      </c>
      <c r="J42">
        <v>10</v>
      </c>
      <c r="K42">
        <v>4</v>
      </c>
      <c r="L42">
        <v>2</v>
      </c>
      <c r="M42">
        <v>0</v>
      </c>
    </row>
    <row r="43" spans="1:13" x14ac:dyDescent="0.25">
      <c r="A43">
        <v>19</v>
      </c>
      <c r="B43" t="s">
        <v>34</v>
      </c>
      <c r="C43">
        <v>1.6</v>
      </c>
      <c r="D43" t="s">
        <v>35</v>
      </c>
      <c r="E43">
        <v>8.6</v>
      </c>
      <c r="F43">
        <v>2.4</v>
      </c>
      <c r="G43">
        <v>3.81</v>
      </c>
      <c r="H43">
        <v>0.4</v>
      </c>
      <c r="I43" t="s">
        <v>36</v>
      </c>
      <c r="J43">
        <v>10</v>
      </c>
      <c r="K43">
        <v>4</v>
      </c>
      <c r="L43">
        <v>1</v>
      </c>
      <c r="M43">
        <v>0</v>
      </c>
    </row>
    <row r="44" spans="1:13" x14ac:dyDescent="0.25">
      <c r="A44">
        <v>14</v>
      </c>
      <c r="B44" t="s">
        <v>37</v>
      </c>
      <c r="C44">
        <v>7.3</v>
      </c>
      <c r="D44" t="s">
        <v>35</v>
      </c>
      <c r="E44">
        <v>7.7</v>
      </c>
      <c r="F44">
        <v>1.4</v>
      </c>
      <c r="G44">
        <v>3.42</v>
      </c>
      <c r="H44">
        <v>0.3</v>
      </c>
      <c r="I44" t="s">
        <v>40</v>
      </c>
      <c r="J44">
        <v>6</v>
      </c>
      <c r="K44">
        <v>1</v>
      </c>
      <c r="L44">
        <v>8</v>
      </c>
      <c r="M44">
        <v>0</v>
      </c>
    </row>
    <row r="45" spans="1:13" x14ac:dyDescent="0.25">
      <c r="A45">
        <v>15</v>
      </c>
      <c r="B45" t="s">
        <v>34</v>
      </c>
      <c r="C45">
        <v>4</v>
      </c>
      <c r="D45" t="s">
        <v>41</v>
      </c>
      <c r="E45">
        <v>8.8000000000000007</v>
      </c>
      <c r="F45">
        <v>1.3</v>
      </c>
      <c r="G45">
        <v>3.59</v>
      </c>
      <c r="H45">
        <v>1.9</v>
      </c>
      <c r="I45" t="s">
        <v>40</v>
      </c>
      <c r="J45">
        <v>10</v>
      </c>
      <c r="K45">
        <v>6</v>
      </c>
      <c r="L45">
        <v>10</v>
      </c>
      <c r="M45">
        <v>0</v>
      </c>
    </row>
    <row r="46" spans="1:13" x14ac:dyDescent="0.25">
      <c r="A46">
        <v>14</v>
      </c>
      <c r="B46" t="s">
        <v>34</v>
      </c>
      <c r="C46">
        <v>5.2</v>
      </c>
      <c r="D46" t="s">
        <v>41</v>
      </c>
      <c r="E46">
        <v>4.0999999999999996</v>
      </c>
      <c r="F46">
        <v>2.1</v>
      </c>
      <c r="G46">
        <v>3.07</v>
      </c>
      <c r="H46">
        <v>0.2</v>
      </c>
      <c r="I46" t="s">
        <v>40</v>
      </c>
      <c r="J46">
        <v>9</v>
      </c>
      <c r="K46">
        <v>3</v>
      </c>
      <c r="L46">
        <v>8</v>
      </c>
      <c r="M46">
        <v>0</v>
      </c>
    </row>
    <row r="47" spans="1:13" x14ac:dyDescent="0.25">
      <c r="A47">
        <v>14</v>
      </c>
      <c r="B47" t="s">
        <v>37</v>
      </c>
      <c r="C47">
        <v>4.5</v>
      </c>
      <c r="D47" t="s">
        <v>38</v>
      </c>
      <c r="E47">
        <v>4.8</v>
      </c>
      <c r="F47">
        <v>0.9</v>
      </c>
      <c r="G47">
        <v>2.2200000000000002</v>
      </c>
      <c r="H47">
        <v>0.8</v>
      </c>
      <c r="I47" t="s">
        <v>36</v>
      </c>
      <c r="J47">
        <v>1</v>
      </c>
      <c r="K47">
        <v>4</v>
      </c>
      <c r="L47">
        <v>10</v>
      </c>
      <c r="M47">
        <v>0</v>
      </c>
    </row>
    <row r="48" spans="1:13" x14ac:dyDescent="0.25">
      <c r="A48">
        <v>18</v>
      </c>
      <c r="B48" t="s">
        <v>34</v>
      </c>
      <c r="C48">
        <v>6.8</v>
      </c>
      <c r="D48" t="s">
        <v>38</v>
      </c>
      <c r="E48">
        <v>8.6</v>
      </c>
      <c r="F48">
        <v>1.1000000000000001</v>
      </c>
      <c r="G48">
        <v>2.36</v>
      </c>
      <c r="H48">
        <v>1.6</v>
      </c>
      <c r="I48" t="s">
        <v>39</v>
      </c>
      <c r="J48">
        <v>1</v>
      </c>
      <c r="K48">
        <v>10</v>
      </c>
      <c r="L48">
        <v>10</v>
      </c>
      <c r="M48">
        <v>0</v>
      </c>
    </row>
    <row r="49" spans="1:13" x14ac:dyDescent="0.25">
      <c r="A49">
        <v>13</v>
      </c>
      <c r="B49" t="s">
        <v>37</v>
      </c>
      <c r="C49">
        <v>3.5</v>
      </c>
      <c r="D49" t="s">
        <v>35</v>
      </c>
      <c r="E49">
        <v>5.0999999999999996</v>
      </c>
      <c r="F49">
        <v>1.1000000000000001</v>
      </c>
      <c r="G49">
        <v>2.27</v>
      </c>
      <c r="H49">
        <v>1.8</v>
      </c>
      <c r="I49" t="s">
        <v>40</v>
      </c>
      <c r="J49">
        <v>2</v>
      </c>
      <c r="K49">
        <v>5</v>
      </c>
      <c r="L49">
        <v>6</v>
      </c>
      <c r="M49">
        <v>0</v>
      </c>
    </row>
    <row r="50" spans="1:13" x14ac:dyDescent="0.25">
      <c r="A50">
        <v>16</v>
      </c>
      <c r="B50" t="s">
        <v>34</v>
      </c>
      <c r="C50">
        <v>2.2999999999999998</v>
      </c>
      <c r="D50" t="s">
        <v>38</v>
      </c>
      <c r="E50">
        <v>6.3</v>
      </c>
      <c r="F50">
        <v>3</v>
      </c>
      <c r="G50">
        <v>3.24</v>
      </c>
      <c r="H50">
        <v>1.9</v>
      </c>
      <c r="I50" t="s">
        <v>40</v>
      </c>
      <c r="J50">
        <v>4</v>
      </c>
      <c r="K50">
        <v>4</v>
      </c>
      <c r="L50">
        <v>9</v>
      </c>
      <c r="M50">
        <v>0</v>
      </c>
    </row>
    <row r="51" spans="1:13" x14ac:dyDescent="0.25">
      <c r="A51">
        <v>14</v>
      </c>
      <c r="B51" t="s">
        <v>34</v>
      </c>
      <c r="C51">
        <v>1.2</v>
      </c>
      <c r="D51" t="s">
        <v>35</v>
      </c>
      <c r="E51">
        <v>8.5</v>
      </c>
      <c r="F51">
        <v>1.8</v>
      </c>
      <c r="G51">
        <v>3.65</v>
      </c>
      <c r="H51">
        <v>1.8</v>
      </c>
      <c r="I51" t="s">
        <v>39</v>
      </c>
      <c r="J51">
        <v>5</v>
      </c>
      <c r="K51">
        <v>10</v>
      </c>
      <c r="L51">
        <v>10</v>
      </c>
      <c r="M51">
        <v>0</v>
      </c>
    </row>
    <row r="52" spans="1:13" x14ac:dyDescent="0.25">
      <c r="A52">
        <v>13</v>
      </c>
      <c r="B52" t="s">
        <v>34</v>
      </c>
      <c r="C52">
        <v>6.2</v>
      </c>
      <c r="D52" t="s">
        <v>41</v>
      </c>
      <c r="E52">
        <v>7.1</v>
      </c>
      <c r="F52">
        <v>2.2000000000000002</v>
      </c>
      <c r="G52">
        <v>3.43</v>
      </c>
      <c r="H52">
        <v>0.2</v>
      </c>
      <c r="I52" t="s">
        <v>40</v>
      </c>
      <c r="J52">
        <v>5</v>
      </c>
      <c r="K52">
        <v>2</v>
      </c>
      <c r="L52">
        <v>2</v>
      </c>
      <c r="M52">
        <v>0</v>
      </c>
    </row>
    <row r="53" spans="1:13" x14ac:dyDescent="0.25">
      <c r="A53">
        <v>18</v>
      </c>
      <c r="B53" t="s">
        <v>34</v>
      </c>
      <c r="C53">
        <v>4.5</v>
      </c>
      <c r="D53" t="s">
        <v>38</v>
      </c>
      <c r="E53">
        <v>4.0999999999999996</v>
      </c>
      <c r="F53">
        <v>1.9</v>
      </c>
      <c r="G53">
        <v>3.42</v>
      </c>
      <c r="H53">
        <v>0.1</v>
      </c>
      <c r="I53" t="s">
        <v>40</v>
      </c>
      <c r="J53">
        <v>6</v>
      </c>
      <c r="K53">
        <v>7</v>
      </c>
      <c r="L53">
        <v>8</v>
      </c>
      <c r="M53">
        <v>0</v>
      </c>
    </row>
    <row r="54" spans="1:13" x14ac:dyDescent="0.25">
      <c r="A54">
        <v>18</v>
      </c>
      <c r="B54" t="s">
        <v>34</v>
      </c>
      <c r="C54">
        <v>2.9</v>
      </c>
      <c r="D54" t="s">
        <v>35</v>
      </c>
      <c r="E54">
        <v>4.5</v>
      </c>
      <c r="F54">
        <v>2.5</v>
      </c>
      <c r="G54">
        <v>3.16</v>
      </c>
      <c r="H54">
        <v>1.3</v>
      </c>
      <c r="I54" t="s">
        <v>36</v>
      </c>
      <c r="J54">
        <v>3</v>
      </c>
      <c r="K54">
        <v>7</v>
      </c>
      <c r="L54">
        <v>8</v>
      </c>
      <c r="M54">
        <v>0</v>
      </c>
    </row>
    <row r="55" spans="1:13" x14ac:dyDescent="0.25">
      <c r="A55">
        <v>13</v>
      </c>
      <c r="B55" t="s">
        <v>37</v>
      </c>
      <c r="C55">
        <v>5.8</v>
      </c>
      <c r="D55" t="s">
        <v>38</v>
      </c>
      <c r="E55">
        <v>8.5</v>
      </c>
      <c r="F55">
        <v>2.2999999999999998</v>
      </c>
      <c r="G55">
        <v>3.3</v>
      </c>
      <c r="H55">
        <v>1.9</v>
      </c>
      <c r="I55" t="s">
        <v>39</v>
      </c>
      <c r="J55">
        <v>1</v>
      </c>
      <c r="K55">
        <v>1</v>
      </c>
      <c r="L55">
        <v>5</v>
      </c>
      <c r="M55">
        <v>0</v>
      </c>
    </row>
    <row r="56" spans="1:13" x14ac:dyDescent="0.25">
      <c r="A56">
        <v>18</v>
      </c>
      <c r="B56" t="s">
        <v>34</v>
      </c>
      <c r="C56">
        <v>6.8</v>
      </c>
      <c r="D56" t="s">
        <v>35</v>
      </c>
      <c r="E56">
        <v>6.5</v>
      </c>
      <c r="F56">
        <v>2.7</v>
      </c>
      <c r="G56">
        <v>2.97</v>
      </c>
      <c r="H56">
        <v>1.9</v>
      </c>
      <c r="I56" t="s">
        <v>36</v>
      </c>
      <c r="J56">
        <v>4</v>
      </c>
      <c r="K56">
        <v>4</v>
      </c>
      <c r="L56">
        <v>5</v>
      </c>
      <c r="M56">
        <v>0</v>
      </c>
    </row>
    <row r="57" spans="1:13" x14ac:dyDescent="0.25">
      <c r="A57">
        <v>15</v>
      </c>
      <c r="B57" t="s">
        <v>37</v>
      </c>
      <c r="C57">
        <v>7.4</v>
      </c>
      <c r="D57" t="s">
        <v>35</v>
      </c>
      <c r="E57">
        <v>8.6</v>
      </c>
      <c r="F57">
        <v>0.9</v>
      </c>
      <c r="G57">
        <v>2.2999999999999998</v>
      </c>
      <c r="H57">
        <v>0</v>
      </c>
      <c r="I57" t="s">
        <v>36</v>
      </c>
      <c r="J57">
        <v>1</v>
      </c>
      <c r="K57">
        <v>5</v>
      </c>
      <c r="L57">
        <v>3</v>
      </c>
      <c r="M57">
        <v>0</v>
      </c>
    </row>
    <row r="58" spans="1:13" x14ac:dyDescent="0.25">
      <c r="A58">
        <v>18</v>
      </c>
      <c r="B58" t="s">
        <v>34</v>
      </c>
      <c r="C58">
        <v>4.5</v>
      </c>
      <c r="D58" t="s">
        <v>38</v>
      </c>
      <c r="E58">
        <v>5</v>
      </c>
      <c r="F58">
        <v>2.5</v>
      </c>
      <c r="G58">
        <v>2.65</v>
      </c>
      <c r="H58">
        <v>0.7</v>
      </c>
      <c r="I58" t="s">
        <v>40</v>
      </c>
      <c r="J58">
        <v>8</v>
      </c>
      <c r="K58">
        <v>9</v>
      </c>
      <c r="L58">
        <v>1</v>
      </c>
      <c r="M58">
        <v>0</v>
      </c>
    </row>
    <row r="59" spans="1:13" x14ac:dyDescent="0.25">
      <c r="A59">
        <v>16</v>
      </c>
      <c r="B59" t="s">
        <v>34</v>
      </c>
      <c r="C59">
        <v>6.4</v>
      </c>
      <c r="D59" t="s">
        <v>38</v>
      </c>
      <c r="E59">
        <v>5.3</v>
      </c>
      <c r="F59">
        <v>2.4</v>
      </c>
      <c r="G59">
        <v>2.0299999999999998</v>
      </c>
      <c r="H59">
        <v>1.7</v>
      </c>
      <c r="I59" t="s">
        <v>40</v>
      </c>
      <c r="J59">
        <v>7</v>
      </c>
      <c r="K59">
        <v>5</v>
      </c>
      <c r="L59">
        <v>10</v>
      </c>
      <c r="M59">
        <v>0</v>
      </c>
    </row>
    <row r="60" spans="1:13" x14ac:dyDescent="0.25">
      <c r="A60">
        <v>13</v>
      </c>
      <c r="B60" t="s">
        <v>34</v>
      </c>
      <c r="C60">
        <v>7.3</v>
      </c>
      <c r="D60" t="s">
        <v>41</v>
      </c>
      <c r="E60">
        <v>4.2</v>
      </c>
      <c r="F60">
        <v>1.3</v>
      </c>
      <c r="G60">
        <v>2.16</v>
      </c>
      <c r="H60">
        <v>1</v>
      </c>
      <c r="I60" t="s">
        <v>39</v>
      </c>
      <c r="J60">
        <v>4</v>
      </c>
      <c r="K60">
        <v>5</v>
      </c>
      <c r="L60">
        <v>2</v>
      </c>
      <c r="M60">
        <v>0</v>
      </c>
    </row>
    <row r="61" spans="1:13" x14ac:dyDescent="0.25">
      <c r="A61">
        <v>17</v>
      </c>
      <c r="B61" t="s">
        <v>37</v>
      </c>
      <c r="C61">
        <v>7.1</v>
      </c>
      <c r="D61" t="s">
        <v>35</v>
      </c>
      <c r="E61">
        <v>5.6</v>
      </c>
      <c r="F61">
        <v>0.6</v>
      </c>
      <c r="G61">
        <v>3.07</v>
      </c>
      <c r="H61">
        <v>1</v>
      </c>
      <c r="I61" t="s">
        <v>40</v>
      </c>
      <c r="J61">
        <v>1</v>
      </c>
      <c r="K61">
        <v>3</v>
      </c>
      <c r="L61">
        <v>7</v>
      </c>
      <c r="M61">
        <v>0</v>
      </c>
    </row>
    <row r="62" spans="1:13" x14ac:dyDescent="0.25">
      <c r="A62">
        <v>18</v>
      </c>
      <c r="B62" t="s">
        <v>34</v>
      </c>
      <c r="C62">
        <v>1.6</v>
      </c>
      <c r="D62" t="s">
        <v>38</v>
      </c>
      <c r="E62">
        <v>5.0999999999999996</v>
      </c>
      <c r="F62">
        <v>2.7</v>
      </c>
      <c r="G62">
        <v>3.57</v>
      </c>
      <c r="H62">
        <v>0.8</v>
      </c>
      <c r="I62" t="s">
        <v>39</v>
      </c>
      <c r="J62">
        <v>3</v>
      </c>
      <c r="K62">
        <v>9</v>
      </c>
      <c r="L62">
        <v>7</v>
      </c>
      <c r="M62">
        <v>0</v>
      </c>
    </row>
    <row r="63" spans="1:13" x14ac:dyDescent="0.25">
      <c r="A63">
        <v>15</v>
      </c>
      <c r="B63" t="s">
        <v>37</v>
      </c>
      <c r="C63">
        <v>1.5</v>
      </c>
      <c r="D63" t="s">
        <v>35</v>
      </c>
      <c r="E63">
        <v>4.7</v>
      </c>
      <c r="F63">
        <v>1</v>
      </c>
      <c r="G63">
        <v>3.82</v>
      </c>
      <c r="H63">
        <v>0.6</v>
      </c>
      <c r="I63" t="s">
        <v>40</v>
      </c>
      <c r="J63">
        <v>6</v>
      </c>
      <c r="K63">
        <v>1</v>
      </c>
      <c r="L63">
        <v>4</v>
      </c>
      <c r="M63">
        <v>0</v>
      </c>
    </row>
    <row r="64" spans="1:13" x14ac:dyDescent="0.25">
      <c r="A64">
        <v>13</v>
      </c>
      <c r="B64" t="s">
        <v>34</v>
      </c>
      <c r="C64">
        <v>4.3</v>
      </c>
      <c r="D64" t="s">
        <v>41</v>
      </c>
      <c r="E64">
        <v>5.8</v>
      </c>
      <c r="F64">
        <v>0.7</v>
      </c>
      <c r="G64">
        <v>3.15</v>
      </c>
      <c r="H64">
        <v>0.1</v>
      </c>
      <c r="I64" t="s">
        <v>40</v>
      </c>
      <c r="J64">
        <v>7</v>
      </c>
      <c r="K64">
        <v>2</v>
      </c>
      <c r="L64">
        <v>1</v>
      </c>
      <c r="M64">
        <v>0</v>
      </c>
    </row>
    <row r="65" spans="1:13" x14ac:dyDescent="0.25">
      <c r="A65">
        <v>17</v>
      </c>
      <c r="B65" t="s">
        <v>34</v>
      </c>
      <c r="C65">
        <v>2.5</v>
      </c>
      <c r="D65" t="s">
        <v>41</v>
      </c>
      <c r="E65">
        <v>6.7</v>
      </c>
      <c r="F65">
        <v>2</v>
      </c>
      <c r="G65">
        <v>2.56</v>
      </c>
      <c r="H65">
        <v>1.7</v>
      </c>
      <c r="I65" t="s">
        <v>39</v>
      </c>
      <c r="J65">
        <v>5</v>
      </c>
      <c r="K65">
        <v>7</v>
      </c>
      <c r="L65">
        <v>5</v>
      </c>
      <c r="M65">
        <v>0</v>
      </c>
    </row>
    <row r="66" spans="1:13" x14ac:dyDescent="0.25">
      <c r="A66">
        <v>19</v>
      </c>
      <c r="B66" t="s">
        <v>37</v>
      </c>
      <c r="C66">
        <v>7.9</v>
      </c>
      <c r="D66" t="s">
        <v>38</v>
      </c>
      <c r="E66">
        <v>5.0999999999999996</v>
      </c>
      <c r="F66">
        <v>1.7</v>
      </c>
      <c r="G66">
        <v>2.8</v>
      </c>
      <c r="H66">
        <v>0.8</v>
      </c>
      <c r="I66" t="s">
        <v>36</v>
      </c>
      <c r="J66">
        <v>6</v>
      </c>
      <c r="K66">
        <v>1</v>
      </c>
      <c r="L66">
        <v>8</v>
      </c>
      <c r="M66">
        <v>0</v>
      </c>
    </row>
    <row r="67" spans="1:13" x14ac:dyDescent="0.25">
      <c r="A67">
        <v>17</v>
      </c>
      <c r="B67" t="s">
        <v>34</v>
      </c>
      <c r="C67">
        <v>2.7</v>
      </c>
      <c r="D67" t="s">
        <v>35</v>
      </c>
      <c r="E67">
        <v>8</v>
      </c>
      <c r="F67">
        <v>2.6</v>
      </c>
      <c r="G67">
        <v>3.53</v>
      </c>
      <c r="H67">
        <v>1.9</v>
      </c>
      <c r="I67" t="s">
        <v>39</v>
      </c>
      <c r="J67">
        <v>1</v>
      </c>
      <c r="K67">
        <v>8</v>
      </c>
      <c r="L67">
        <v>7</v>
      </c>
      <c r="M67">
        <v>0</v>
      </c>
    </row>
    <row r="68" spans="1:13" x14ac:dyDescent="0.25">
      <c r="A68">
        <v>13</v>
      </c>
      <c r="B68" t="s">
        <v>34</v>
      </c>
      <c r="C68">
        <v>3.1</v>
      </c>
      <c r="D68" t="s">
        <v>38</v>
      </c>
      <c r="E68">
        <v>8.1999999999999993</v>
      </c>
      <c r="F68">
        <v>1.5</v>
      </c>
      <c r="G68">
        <v>2.4500000000000002</v>
      </c>
      <c r="H68">
        <v>0.3</v>
      </c>
      <c r="I68" t="s">
        <v>36</v>
      </c>
      <c r="J68">
        <v>5</v>
      </c>
      <c r="K68">
        <v>8</v>
      </c>
      <c r="L68">
        <v>6</v>
      </c>
      <c r="M68">
        <v>0</v>
      </c>
    </row>
    <row r="69" spans="1:13" x14ac:dyDescent="0.25">
      <c r="A69">
        <v>17</v>
      </c>
      <c r="B69" t="s">
        <v>34</v>
      </c>
      <c r="C69">
        <v>5.8</v>
      </c>
      <c r="D69" t="s">
        <v>41</v>
      </c>
      <c r="E69">
        <v>7.6</v>
      </c>
      <c r="F69">
        <v>0.7</v>
      </c>
      <c r="G69">
        <v>2.83</v>
      </c>
      <c r="H69">
        <v>1</v>
      </c>
      <c r="I69" t="s">
        <v>40</v>
      </c>
      <c r="J69">
        <v>7</v>
      </c>
      <c r="K69">
        <v>6</v>
      </c>
      <c r="L69">
        <v>8</v>
      </c>
      <c r="M69">
        <v>0</v>
      </c>
    </row>
    <row r="70" spans="1:13" x14ac:dyDescent="0.25">
      <c r="A70">
        <v>14</v>
      </c>
      <c r="B70" t="s">
        <v>37</v>
      </c>
      <c r="C70">
        <v>3.9</v>
      </c>
      <c r="D70" t="s">
        <v>41</v>
      </c>
      <c r="E70">
        <v>7</v>
      </c>
      <c r="F70">
        <v>2.8</v>
      </c>
      <c r="G70">
        <v>2.8</v>
      </c>
      <c r="H70">
        <v>0.1</v>
      </c>
      <c r="I70" t="s">
        <v>36</v>
      </c>
      <c r="J70">
        <v>8</v>
      </c>
      <c r="K70">
        <v>2</v>
      </c>
      <c r="L70">
        <v>8</v>
      </c>
      <c r="M70">
        <v>0</v>
      </c>
    </row>
    <row r="71" spans="1:13" x14ac:dyDescent="0.25">
      <c r="A71">
        <v>15</v>
      </c>
      <c r="B71" t="s">
        <v>34</v>
      </c>
      <c r="C71">
        <v>7.5</v>
      </c>
      <c r="D71" t="s">
        <v>41</v>
      </c>
      <c r="E71">
        <v>7</v>
      </c>
      <c r="F71">
        <v>0.9</v>
      </c>
      <c r="G71">
        <v>3.48</v>
      </c>
      <c r="H71">
        <v>1.1000000000000001</v>
      </c>
      <c r="I71" t="s">
        <v>39</v>
      </c>
      <c r="J71">
        <v>2</v>
      </c>
      <c r="K71">
        <v>2</v>
      </c>
      <c r="L71">
        <v>6</v>
      </c>
      <c r="M71">
        <v>0</v>
      </c>
    </row>
    <row r="72" spans="1:13" x14ac:dyDescent="0.25">
      <c r="A72">
        <v>14</v>
      </c>
      <c r="B72" t="s">
        <v>34</v>
      </c>
      <c r="C72">
        <v>5.2</v>
      </c>
      <c r="D72" t="s">
        <v>41</v>
      </c>
      <c r="E72">
        <v>6.7</v>
      </c>
      <c r="F72">
        <v>2</v>
      </c>
      <c r="G72">
        <v>3.48</v>
      </c>
      <c r="H72">
        <v>1</v>
      </c>
      <c r="I72" t="s">
        <v>40</v>
      </c>
      <c r="J72">
        <v>2</v>
      </c>
      <c r="K72">
        <v>1</v>
      </c>
      <c r="L72">
        <v>5</v>
      </c>
      <c r="M72">
        <v>0</v>
      </c>
    </row>
    <row r="73" spans="1:13" x14ac:dyDescent="0.25">
      <c r="A73">
        <v>16</v>
      </c>
      <c r="B73" t="s">
        <v>37</v>
      </c>
      <c r="C73">
        <v>3.1</v>
      </c>
      <c r="D73" t="s">
        <v>38</v>
      </c>
      <c r="E73">
        <v>5</v>
      </c>
      <c r="F73">
        <v>1.1000000000000001</v>
      </c>
      <c r="G73">
        <v>2.73</v>
      </c>
      <c r="H73">
        <v>1.6</v>
      </c>
      <c r="I73" t="s">
        <v>36</v>
      </c>
      <c r="J73">
        <v>2</v>
      </c>
      <c r="K73">
        <v>8</v>
      </c>
      <c r="L73">
        <v>1</v>
      </c>
      <c r="M73">
        <v>0</v>
      </c>
    </row>
    <row r="74" spans="1:13" x14ac:dyDescent="0.25">
      <c r="A74">
        <v>16</v>
      </c>
      <c r="B74" t="s">
        <v>37</v>
      </c>
      <c r="C74">
        <v>2</v>
      </c>
      <c r="D74" t="s">
        <v>35</v>
      </c>
      <c r="E74">
        <v>8.6999999999999993</v>
      </c>
      <c r="F74">
        <v>1.2</v>
      </c>
      <c r="G74">
        <v>3</v>
      </c>
      <c r="H74">
        <v>0</v>
      </c>
      <c r="I74" t="s">
        <v>36</v>
      </c>
      <c r="J74">
        <v>8</v>
      </c>
      <c r="K74">
        <v>8</v>
      </c>
      <c r="L74">
        <v>4</v>
      </c>
      <c r="M74">
        <v>0</v>
      </c>
    </row>
    <row r="75" spans="1:13" x14ac:dyDescent="0.25">
      <c r="A75">
        <v>14</v>
      </c>
      <c r="B75" t="s">
        <v>34</v>
      </c>
      <c r="C75">
        <v>2.7</v>
      </c>
      <c r="D75" t="s">
        <v>35</v>
      </c>
      <c r="E75">
        <v>8.4</v>
      </c>
      <c r="F75">
        <v>1.3</v>
      </c>
      <c r="G75">
        <v>2.0099999999999998</v>
      </c>
      <c r="H75">
        <v>0.6</v>
      </c>
      <c r="I75" t="s">
        <v>36</v>
      </c>
      <c r="J75">
        <v>6</v>
      </c>
      <c r="K75">
        <v>3</v>
      </c>
      <c r="L75">
        <v>8</v>
      </c>
      <c r="M75">
        <v>0</v>
      </c>
    </row>
    <row r="76" spans="1:13" x14ac:dyDescent="0.25">
      <c r="A76">
        <v>14</v>
      </c>
      <c r="B76" t="s">
        <v>34</v>
      </c>
      <c r="C76">
        <v>1.5</v>
      </c>
      <c r="D76" t="s">
        <v>41</v>
      </c>
      <c r="E76">
        <v>4.3</v>
      </c>
      <c r="F76">
        <v>2.1</v>
      </c>
      <c r="G76">
        <v>3.9</v>
      </c>
      <c r="H76">
        <v>1.5</v>
      </c>
      <c r="I76" t="s">
        <v>36</v>
      </c>
      <c r="J76">
        <v>10</v>
      </c>
      <c r="K76">
        <v>2</v>
      </c>
      <c r="L76">
        <v>4</v>
      </c>
      <c r="M76">
        <v>0</v>
      </c>
    </row>
    <row r="77" spans="1:13" x14ac:dyDescent="0.25">
      <c r="A77">
        <v>17</v>
      </c>
      <c r="B77" t="s">
        <v>37</v>
      </c>
      <c r="C77">
        <v>6.9</v>
      </c>
      <c r="D77" t="s">
        <v>35</v>
      </c>
      <c r="E77">
        <v>8.1999999999999993</v>
      </c>
      <c r="F77">
        <v>0.8</v>
      </c>
      <c r="G77">
        <v>2.36</v>
      </c>
      <c r="H77">
        <v>0</v>
      </c>
      <c r="I77" t="s">
        <v>40</v>
      </c>
      <c r="J77">
        <v>10</v>
      </c>
      <c r="K77">
        <v>10</v>
      </c>
      <c r="L77">
        <v>7</v>
      </c>
      <c r="M77">
        <v>0</v>
      </c>
    </row>
    <row r="78" spans="1:13" x14ac:dyDescent="0.25">
      <c r="A78">
        <v>13</v>
      </c>
      <c r="B78" t="s">
        <v>34</v>
      </c>
      <c r="C78">
        <v>1.1000000000000001</v>
      </c>
      <c r="D78" t="s">
        <v>38</v>
      </c>
      <c r="E78">
        <v>7.1</v>
      </c>
      <c r="F78">
        <v>1.8</v>
      </c>
      <c r="G78">
        <v>2.5499999999999998</v>
      </c>
      <c r="H78">
        <v>0.8</v>
      </c>
      <c r="I78" t="s">
        <v>39</v>
      </c>
      <c r="J78">
        <v>5</v>
      </c>
      <c r="K78">
        <v>5</v>
      </c>
      <c r="L78">
        <v>10</v>
      </c>
      <c r="M78">
        <v>0</v>
      </c>
    </row>
    <row r="79" spans="1:13" x14ac:dyDescent="0.25">
      <c r="A79">
        <v>13</v>
      </c>
      <c r="B79" t="s">
        <v>34</v>
      </c>
      <c r="C79">
        <v>3.4</v>
      </c>
      <c r="D79" t="s">
        <v>38</v>
      </c>
      <c r="E79">
        <v>4.4000000000000004</v>
      </c>
      <c r="F79">
        <v>0.6</v>
      </c>
      <c r="G79">
        <v>3.41</v>
      </c>
      <c r="H79">
        <v>0.2</v>
      </c>
      <c r="I79" t="s">
        <v>36</v>
      </c>
      <c r="J79">
        <v>8</v>
      </c>
      <c r="K79">
        <v>6</v>
      </c>
      <c r="L79">
        <v>3</v>
      </c>
      <c r="M79">
        <v>0</v>
      </c>
    </row>
    <row r="80" spans="1:13" x14ac:dyDescent="0.25">
      <c r="A80">
        <v>15</v>
      </c>
      <c r="B80" t="s">
        <v>34</v>
      </c>
      <c r="C80">
        <v>6.7</v>
      </c>
      <c r="D80" t="s">
        <v>41</v>
      </c>
      <c r="E80">
        <v>4.5</v>
      </c>
      <c r="F80">
        <v>2.1</v>
      </c>
      <c r="G80">
        <v>3.71</v>
      </c>
      <c r="H80">
        <v>1.3</v>
      </c>
      <c r="I80" t="s">
        <v>39</v>
      </c>
      <c r="J80">
        <v>3</v>
      </c>
      <c r="K80">
        <v>3</v>
      </c>
      <c r="L80">
        <v>3</v>
      </c>
      <c r="M80">
        <v>0</v>
      </c>
    </row>
    <row r="81" spans="1:13" x14ac:dyDescent="0.25">
      <c r="A81">
        <v>18</v>
      </c>
      <c r="B81" t="s">
        <v>34</v>
      </c>
      <c r="C81">
        <v>1.1000000000000001</v>
      </c>
      <c r="D81" t="s">
        <v>41</v>
      </c>
      <c r="E81">
        <v>7.2</v>
      </c>
      <c r="F81">
        <v>1</v>
      </c>
      <c r="G81">
        <v>3.13</v>
      </c>
      <c r="H81">
        <v>0.6</v>
      </c>
      <c r="I81" t="s">
        <v>40</v>
      </c>
      <c r="J81">
        <v>2</v>
      </c>
      <c r="K81">
        <v>1</v>
      </c>
      <c r="L81">
        <v>4</v>
      </c>
      <c r="M81">
        <v>0</v>
      </c>
    </row>
    <row r="82" spans="1:13" x14ac:dyDescent="0.25">
      <c r="A82">
        <v>18</v>
      </c>
      <c r="B82" t="s">
        <v>37</v>
      </c>
      <c r="C82">
        <v>7.4</v>
      </c>
      <c r="D82" t="s">
        <v>35</v>
      </c>
      <c r="E82">
        <v>7.5</v>
      </c>
      <c r="F82">
        <v>2.2999999999999998</v>
      </c>
      <c r="G82">
        <v>2.39</v>
      </c>
      <c r="H82">
        <v>0.9</v>
      </c>
      <c r="I82" t="s">
        <v>39</v>
      </c>
      <c r="J82">
        <v>4</v>
      </c>
      <c r="K82">
        <v>1</v>
      </c>
      <c r="L82">
        <v>4</v>
      </c>
      <c r="M82">
        <v>0</v>
      </c>
    </row>
    <row r="83" spans="1:13" x14ac:dyDescent="0.25">
      <c r="A83">
        <v>19</v>
      </c>
      <c r="B83" t="s">
        <v>37</v>
      </c>
      <c r="C83">
        <v>4.8</v>
      </c>
      <c r="D83" t="s">
        <v>38</v>
      </c>
      <c r="E83">
        <v>6</v>
      </c>
      <c r="F83">
        <v>1.5</v>
      </c>
      <c r="G83">
        <v>2.61</v>
      </c>
      <c r="H83">
        <v>1.2</v>
      </c>
      <c r="I83" t="s">
        <v>39</v>
      </c>
      <c r="J83">
        <v>2</v>
      </c>
      <c r="K83">
        <v>2</v>
      </c>
      <c r="L83">
        <v>6</v>
      </c>
      <c r="M83">
        <v>0</v>
      </c>
    </row>
    <row r="84" spans="1:13" x14ac:dyDescent="0.25">
      <c r="A84">
        <v>14</v>
      </c>
      <c r="B84" t="s">
        <v>34</v>
      </c>
      <c r="C84">
        <v>1.2</v>
      </c>
      <c r="D84" t="s">
        <v>41</v>
      </c>
      <c r="E84">
        <v>5.2</v>
      </c>
      <c r="F84">
        <v>2.2000000000000002</v>
      </c>
      <c r="G84">
        <v>2.19</v>
      </c>
      <c r="H84">
        <v>1.9</v>
      </c>
      <c r="I84" t="s">
        <v>40</v>
      </c>
      <c r="J84">
        <v>9</v>
      </c>
      <c r="K84">
        <v>9</v>
      </c>
      <c r="L84">
        <v>4</v>
      </c>
      <c r="M84">
        <v>0</v>
      </c>
    </row>
    <row r="85" spans="1:13" x14ac:dyDescent="0.25">
      <c r="A85">
        <v>13</v>
      </c>
      <c r="B85" t="s">
        <v>34</v>
      </c>
      <c r="C85">
        <v>7.4</v>
      </c>
      <c r="D85" t="s">
        <v>35</v>
      </c>
      <c r="E85">
        <v>5.6</v>
      </c>
      <c r="F85">
        <v>1.4</v>
      </c>
      <c r="G85">
        <v>2.95</v>
      </c>
      <c r="H85">
        <v>1.7</v>
      </c>
      <c r="I85" t="s">
        <v>39</v>
      </c>
      <c r="J85">
        <v>8</v>
      </c>
      <c r="K85">
        <v>5</v>
      </c>
      <c r="L85">
        <v>5</v>
      </c>
      <c r="M85">
        <v>0</v>
      </c>
    </row>
    <row r="86" spans="1:13" x14ac:dyDescent="0.25">
      <c r="A86">
        <v>16</v>
      </c>
      <c r="B86" t="s">
        <v>37</v>
      </c>
      <c r="C86">
        <v>2.6</v>
      </c>
      <c r="D86" t="s">
        <v>41</v>
      </c>
      <c r="E86">
        <v>8.6</v>
      </c>
      <c r="F86">
        <v>1.3</v>
      </c>
      <c r="G86">
        <v>3.64</v>
      </c>
      <c r="H86">
        <v>1.6</v>
      </c>
      <c r="I86" t="s">
        <v>39</v>
      </c>
      <c r="J86">
        <v>5</v>
      </c>
      <c r="K86">
        <v>3</v>
      </c>
      <c r="L86">
        <v>1</v>
      </c>
      <c r="M86">
        <v>0</v>
      </c>
    </row>
    <row r="87" spans="1:13" x14ac:dyDescent="0.25">
      <c r="A87">
        <v>17</v>
      </c>
      <c r="B87" t="s">
        <v>37</v>
      </c>
      <c r="C87">
        <v>5</v>
      </c>
      <c r="D87" t="s">
        <v>41</v>
      </c>
      <c r="E87">
        <v>9</v>
      </c>
      <c r="F87">
        <v>2.5</v>
      </c>
      <c r="G87">
        <v>3.4</v>
      </c>
      <c r="H87">
        <v>0.9</v>
      </c>
      <c r="I87" t="s">
        <v>39</v>
      </c>
      <c r="J87">
        <v>8</v>
      </c>
      <c r="K87">
        <v>10</v>
      </c>
      <c r="L87">
        <v>5</v>
      </c>
      <c r="M87">
        <v>0</v>
      </c>
    </row>
    <row r="88" spans="1:13" x14ac:dyDescent="0.25">
      <c r="A88">
        <v>18</v>
      </c>
      <c r="B88" t="s">
        <v>34</v>
      </c>
      <c r="C88">
        <v>7.5</v>
      </c>
      <c r="D88" t="s">
        <v>35</v>
      </c>
      <c r="E88">
        <v>7.4</v>
      </c>
      <c r="F88">
        <v>1.8</v>
      </c>
      <c r="G88">
        <v>3.47</v>
      </c>
      <c r="H88">
        <v>0</v>
      </c>
      <c r="I88" t="s">
        <v>36</v>
      </c>
      <c r="J88">
        <v>9</v>
      </c>
      <c r="K88">
        <v>4</v>
      </c>
      <c r="L88">
        <v>2</v>
      </c>
      <c r="M88">
        <v>0</v>
      </c>
    </row>
    <row r="89" spans="1:13" x14ac:dyDescent="0.25">
      <c r="A89">
        <v>17</v>
      </c>
      <c r="B89" t="s">
        <v>37</v>
      </c>
      <c r="C89">
        <v>5.4</v>
      </c>
      <c r="D89" t="s">
        <v>41</v>
      </c>
      <c r="E89">
        <v>5.7</v>
      </c>
      <c r="F89">
        <v>2.5</v>
      </c>
      <c r="G89">
        <v>3.13</v>
      </c>
      <c r="H89">
        <v>1.9</v>
      </c>
      <c r="I89" t="s">
        <v>40</v>
      </c>
      <c r="J89">
        <v>5</v>
      </c>
      <c r="K89">
        <v>10</v>
      </c>
      <c r="L89">
        <v>3</v>
      </c>
      <c r="M89">
        <v>0</v>
      </c>
    </row>
    <row r="90" spans="1:13" x14ac:dyDescent="0.25">
      <c r="A90">
        <v>17</v>
      </c>
      <c r="B90" t="s">
        <v>37</v>
      </c>
      <c r="C90">
        <v>5.6</v>
      </c>
      <c r="D90" t="s">
        <v>35</v>
      </c>
      <c r="E90">
        <v>5.3</v>
      </c>
      <c r="F90">
        <v>1.7</v>
      </c>
      <c r="G90">
        <v>2.77</v>
      </c>
      <c r="H90">
        <v>0.9</v>
      </c>
      <c r="I90" t="s">
        <v>40</v>
      </c>
      <c r="J90">
        <v>8</v>
      </c>
      <c r="K90">
        <v>4</v>
      </c>
      <c r="L90">
        <v>8</v>
      </c>
      <c r="M90">
        <v>0</v>
      </c>
    </row>
    <row r="91" spans="1:13" x14ac:dyDescent="0.25">
      <c r="A91">
        <v>18</v>
      </c>
      <c r="B91" t="s">
        <v>34</v>
      </c>
      <c r="C91">
        <v>6.2</v>
      </c>
      <c r="D91" t="s">
        <v>35</v>
      </c>
      <c r="E91">
        <v>4.0999999999999996</v>
      </c>
      <c r="F91">
        <v>2.8</v>
      </c>
      <c r="G91">
        <v>3.41</v>
      </c>
      <c r="H91">
        <v>1.1000000000000001</v>
      </c>
      <c r="I91" t="s">
        <v>40</v>
      </c>
      <c r="J91">
        <v>7</v>
      </c>
      <c r="K91">
        <v>8</v>
      </c>
      <c r="L91">
        <v>1</v>
      </c>
      <c r="M91">
        <v>1</v>
      </c>
    </row>
    <row r="92" spans="1:13" x14ac:dyDescent="0.25">
      <c r="A92">
        <v>17</v>
      </c>
      <c r="B92" t="s">
        <v>37</v>
      </c>
      <c r="C92">
        <v>4.7</v>
      </c>
      <c r="D92" t="s">
        <v>35</v>
      </c>
      <c r="E92">
        <v>4.7</v>
      </c>
      <c r="F92">
        <v>2.4</v>
      </c>
      <c r="G92">
        <v>3.94</v>
      </c>
      <c r="H92">
        <v>0</v>
      </c>
      <c r="I92" t="s">
        <v>40</v>
      </c>
      <c r="J92">
        <v>10</v>
      </c>
      <c r="K92">
        <v>5</v>
      </c>
      <c r="L92">
        <v>8</v>
      </c>
      <c r="M92">
        <v>0</v>
      </c>
    </row>
    <row r="93" spans="1:13" x14ac:dyDescent="0.25">
      <c r="A93">
        <v>18</v>
      </c>
      <c r="B93" t="s">
        <v>37</v>
      </c>
      <c r="C93">
        <v>4</v>
      </c>
      <c r="D93" t="s">
        <v>35</v>
      </c>
      <c r="E93">
        <v>4.5999999999999996</v>
      </c>
      <c r="F93">
        <v>2.2000000000000002</v>
      </c>
      <c r="G93">
        <v>3.7</v>
      </c>
      <c r="H93">
        <v>0.6</v>
      </c>
      <c r="I93" t="s">
        <v>40</v>
      </c>
      <c r="J93">
        <v>4</v>
      </c>
      <c r="K93">
        <v>1</v>
      </c>
      <c r="L93">
        <v>4</v>
      </c>
      <c r="M93">
        <v>0</v>
      </c>
    </row>
    <row r="94" spans="1:13" x14ac:dyDescent="0.25">
      <c r="A94">
        <v>18</v>
      </c>
      <c r="B94" t="s">
        <v>34</v>
      </c>
      <c r="C94">
        <v>6.2</v>
      </c>
      <c r="D94" t="s">
        <v>38</v>
      </c>
      <c r="E94">
        <v>8.6</v>
      </c>
      <c r="F94">
        <v>1.5</v>
      </c>
      <c r="G94">
        <v>3.22</v>
      </c>
      <c r="H94">
        <v>1.6</v>
      </c>
      <c r="I94" t="s">
        <v>36</v>
      </c>
      <c r="J94">
        <v>4</v>
      </c>
      <c r="K94">
        <v>5</v>
      </c>
      <c r="L94">
        <v>7</v>
      </c>
      <c r="M94">
        <v>0</v>
      </c>
    </row>
    <row r="95" spans="1:13" x14ac:dyDescent="0.25">
      <c r="A95">
        <v>17</v>
      </c>
      <c r="B95" t="s">
        <v>37</v>
      </c>
      <c r="C95">
        <v>5.6</v>
      </c>
      <c r="D95" t="s">
        <v>38</v>
      </c>
      <c r="E95">
        <v>6.8</v>
      </c>
      <c r="F95">
        <v>2</v>
      </c>
      <c r="G95">
        <v>2.2200000000000002</v>
      </c>
      <c r="H95">
        <v>1</v>
      </c>
      <c r="I95" t="s">
        <v>40</v>
      </c>
      <c r="J95">
        <v>6</v>
      </c>
      <c r="K95">
        <v>9</v>
      </c>
      <c r="L95">
        <v>8</v>
      </c>
      <c r="M95">
        <v>0</v>
      </c>
    </row>
    <row r="96" spans="1:13" x14ac:dyDescent="0.25">
      <c r="A96">
        <v>13</v>
      </c>
      <c r="B96" t="s">
        <v>37</v>
      </c>
      <c r="C96">
        <v>4</v>
      </c>
      <c r="D96" t="s">
        <v>35</v>
      </c>
      <c r="E96">
        <v>4.4000000000000004</v>
      </c>
      <c r="F96">
        <v>2.5</v>
      </c>
      <c r="G96">
        <v>3.6</v>
      </c>
      <c r="H96">
        <v>1.4</v>
      </c>
      <c r="I96" t="s">
        <v>40</v>
      </c>
      <c r="J96">
        <v>7</v>
      </c>
      <c r="K96">
        <v>2</v>
      </c>
      <c r="L96">
        <v>10</v>
      </c>
      <c r="M96">
        <v>0</v>
      </c>
    </row>
    <row r="97" spans="1:13" x14ac:dyDescent="0.25">
      <c r="A97">
        <v>15</v>
      </c>
      <c r="B97" t="s">
        <v>37</v>
      </c>
      <c r="C97">
        <v>1.8</v>
      </c>
      <c r="D97" t="s">
        <v>35</v>
      </c>
      <c r="E97">
        <v>6.4</v>
      </c>
      <c r="F97">
        <v>2.4</v>
      </c>
      <c r="G97">
        <v>2.16</v>
      </c>
      <c r="H97">
        <v>1.9</v>
      </c>
      <c r="I97" t="s">
        <v>40</v>
      </c>
      <c r="J97">
        <v>3</v>
      </c>
      <c r="K97">
        <v>6</v>
      </c>
      <c r="L97">
        <v>9</v>
      </c>
      <c r="M97">
        <v>0</v>
      </c>
    </row>
    <row r="98" spans="1:13" x14ac:dyDescent="0.25">
      <c r="A98">
        <v>13</v>
      </c>
      <c r="B98" t="s">
        <v>34</v>
      </c>
      <c r="C98">
        <v>3.1</v>
      </c>
      <c r="D98" t="s">
        <v>38</v>
      </c>
      <c r="E98">
        <v>5.4</v>
      </c>
      <c r="F98">
        <v>1.9</v>
      </c>
      <c r="G98">
        <v>3.66</v>
      </c>
      <c r="H98">
        <v>0.4</v>
      </c>
      <c r="I98" t="s">
        <v>36</v>
      </c>
      <c r="J98">
        <v>7</v>
      </c>
      <c r="K98">
        <v>4</v>
      </c>
      <c r="L98">
        <v>2</v>
      </c>
      <c r="M98">
        <v>0</v>
      </c>
    </row>
    <row r="99" spans="1:13" x14ac:dyDescent="0.25">
      <c r="A99">
        <v>13</v>
      </c>
      <c r="B99" t="s">
        <v>37</v>
      </c>
      <c r="C99">
        <v>3.5</v>
      </c>
      <c r="D99" t="s">
        <v>38</v>
      </c>
      <c r="E99">
        <v>5.2</v>
      </c>
      <c r="F99">
        <v>2.5</v>
      </c>
      <c r="G99">
        <v>2.57</v>
      </c>
      <c r="H99">
        <v>1.1000000000000001</v>
      </c>
      <c r="I99" t="s">
        <v>39</v>
      </c>
      <c r="J99">
        <v>1</v>
      </c>
      <c r="K99">
        <v>6</v>
      </c>
      <c r="L99">
        <v>3</v>
      </c>
      <c r="M99">
        <v>0</v>
      </c>
    </row>
    <row r="100" spans="1:13" x14ac:dyDescent="0.25">
      <c r="A100">
        <v>18</v>
      </c>
      <c r="B100" t="s">
        <v>34</v>
      </c>
      <c r="C100">
        <v>7.4</v>
      </c>
      <c r="D100" t="s">
        <v>38</v>
      </c>
      <c r="E100">
        <v>6.4</v>
      </c>
      <c r="F100">
        <v>2.2000000000000002</v>
      </c>
      <c r="G100">
        <v>3.51</v>
      </c>
      <c r="H100">
        <v>1</v>
      </c>
      <c r="I100" t="s">
        <v>39</v>
      </c>
      <c r="J100">
        <v>4</v>
      </c>
      <c r="K100">
        <v>5</v>
      </c>
      <c r="L100">
        <v>4</v>
      </c>
      <c r="M100">
        <v>0</v>
      </c>
    </row>
    <row r="101" spans="1:13" x14ac:dyDescent="0.25">
      <c r="A101">
        <v>16</v>
      </c>
      <c r="B101" t="s">
        <v>34</v>
      </c>
      <c r="C101">
        <v>8</v>
      </c>
      <c r="D101" t="s">
        <v>35</v>
      </c>
      <c r="E101">
        <v>5.5</v>
      </c>
      <c r="F101">
        <v>1.4</v>
      </c>
      <c r="G101">
        <v>2.95</v>
      </c>
      <c r="H101">
        <v>0.3</v>
      </c>
      <c r="I101" t="s">
        <v>40</v>
      </c>
      <c r="J101">
        <v>2</v>
      </c>
      <c r="K101">
        <v>5</v>
      </c>
      <c r="L101">
        <v>2</v>
      </c>
      <c r="M101">
        <v>0</v>
      </c>
    </row>
    <row r="102" spans="1:13" x14ac:dyDescent="0.25">
      <c r="A102">
        <v>13</v>
      </c>
      <c r="B102" t="s">
        <v>34</v>
      </c>
      <c r="C102">
        <v>5.0999999999999996</v>
      </c>
      <c r="D102" t="s">
        <v>41</v>
      </c>
      <c r="E102">
        <v>4.0999999999999996</v>
      </c>
      <c r="F102">
        <v>1.6</v>
      </c>
      <c r="G102">
        <v>3.32</v>
      </c>
      <c r="H102">
        <v>0.8</v>
      </c>
      <c r="I102" t="s">
        <v>40</v>
      </c>
      <c r="J102">
        <v>1</v>
      </c>
      <c r="K102">
        <v>3</v>
      </c>
      <c r="L102">
        <v>8</v>
      </c>
      <c r="M102">
        <v>0</v>
      </c>
    </row>
    <row r="103" spans="1:13" x14ac:dyDescent="0.25">
      <c r="A103">
        <v>18</v>
      </c>
      <c r="B103" t="s">
        <v>37</v>
      </c>
      <c r="C103">
        <v>2.4</v>
      </c>
      <c r="D103" t="s">
        <v>35</v>
      </c>
      <c r="E103">
        <v>6.3</v>
      </c>
      <c r="F103">
        <v>1.3</v>
      </c>
      <c r="G103">
        <v>3.05</v>
      </c>
      <c r="H103">
        <v>1.7</v>
      </c>
      <c r="I103" t="s">
        <v>36</v>
      </c>
      <c r="J103">
        <v>2</v>
      </c>
      <c r="K103">
        <v>9</v>
      </c>
      <c r="L103">
        <v>5</v>
      </c>
      <c r="M103">
        <v>0</v>
      </c>
    </row>
    <row r="104" spans="1:13" x14ac:dyDescent="0.25">
      <c r="A104">
        <v>13</v>
      </c>
      <c r="B104" t="s">
        <v>34</v>
      </c>
      <c r="C104">
        <v>1.6</v>
      </c>
      <c r="D104" t="s">
        <v>35</v>
      </c>
      <c r="E104">
        <v>4.2</v>
      </c>
      <c r="F104">
        <v>1.5</v>
      </c>
      <c r="G104">
        <v>3.72</v>
      </c>
      <c r="H104">
        <v>1.7</v>
      </c>
      <c r="I104" t="s">
        <v>40</v>
      </c>
      <c r="J104">
        <v>10</v>
      </c>
      <c r="K104">
        <v>1</v>
      </c>
      <c r="L104">
        <v>10</v>
      </c>
      <c r="M104">
        <v>0</v>
      </c>
    </row>
    <row r="105" spans="1:13" x14ac:dyDescent="0.25">
      <c r="A105">
        <v>18</v>
      </c>
      <c r="B105" t="s">
        <v>34</v>
      </c>
      <c r="C105">
        <v>5.8</v>
      </c>
      <c r="D105" t="s">
        <v>35</v>
      </c>
      <c r="E105">
        <v>6.7</v>
      </c>
      <c r="F105">
        <v>1.9</v>
      </c>
      <c r="G105">
        <v>3</v>
      </c>
      <c r="H105">
        <v>1.9</v>
      </c>
      <c r="I105" t="s">
        <v>36</v>
      </c>
      <c r="J105">
        <v>5</v>
      </c>
      <c r="K105">
        <v>8</v>
      </c>
      <c r="L105">
        <v>2</v>
      </c>
      <c r="M105">
        <v>0</v>
      </c>
    </row>
    <row r="106" spans="1:13" x14ac:dyDescent="0.25">
      <c r="A106">
        <v>15</v>
      </c>
      <c r="B106" t="s">
        <v>34</v>
      </c>
      <c r="C106">
        <v>2.7</v>
      </c>
      <c r="D106" t="s">
        <v>38</v>
      </c>
      <c r="E106">
        <v>6.6</v>
      </c>
      <c r="F106">
        <v>1.9</v>
      </c>
      <c r="G106">
        <v>2.75</v>
      </c>
      <c r="H106">
        <v>1.9</v>
      </c>
      <c r="I106" t="s">
        <v>40</v>
      </c>
      <c r="J106">
        <v>3</v>
      </c>
      <c r="K106">
        <v>6</v>
      </c>
      <c r="L106">
        <v>6</v>
      </c>
      <c r="M106">
        <v>0</v>
      </c>
    </row>
    <row r="107" spans="1:13" x14ac:dyDescent="0.25">
      <c r="A107">
        <v>13</v>
      </c>
      <c r="B107" t="s">
        <v>37</v>
      </c>
      <c r="C107">
        <v>4</v>
      </c>
      <c r="D107" t="s">
        <v>41</v>
      </c>
      <c r="E107">
        <v>4.5</v>
      </c>
      <c r="F107">
        <v>1</v>
      </c>
      <c r="G107">
        <v>3.65</v>
      </c>
      <c r="H107">
        <v>1.8</v>
      </c>
      <c r="I107" t="s">
        <v>36</v>
      </c>
      <c r="J107">
        <v>5</v>
      </c>
      <c r="K107">
        <v>6</v>
      </c>
      <c r="L107">
        <v>5</v>
      </c>
      <c r="M107">
        <v>0</v>
      </c>
    </row>
    <row r="108" spans="1:13" x14ac:dyDescent="0.25">
      <c r="A108">
        <v>18</v>
      </c>
      <c r="B108" t="s">
        <v>34</v>
      </c>
      <c r="C108">
        <v>3.2</v>
      </c>
      <c r="D108" t="s">
        <v>41</v>
      </c>
      <c r="E108">
        <v>8.8000000000000007</v>
      </c>
      <c r="F108">
        <v>1.2</v>
      </c>
      <c r="G108">
        <v>3.71</v>
      </c>
      <c r="H108">
        <v>1.1000000000000001</v>
      </c>
      <c r="I108" t="s">
        <v>40</v>
      </c>
      <c r="J108">
        <v>7</v>
      </c>
      <c r="K108">
        <v>6</v>
      </c>
      <c r="L108">
        <v>10</v>
      </c>
      <c r="M108">
        <v>0</v>
      </c>
    </row>
    <row r="109" spans="1:13" x14ac:dyDescent="0.25">
      <c r="A109">
        <v>13</v>
      </c>
      <c r="B109" t="s">
        <v>34</v>
      </c>
      <c r="C109">
        <v>1.6</v>
      </c>
      <c r="D109" t="s">
        <v>38</v>
      </c>
      <c r="E109">
        <v>4.3</v>
      </c>
      <c r="F109">
        <v>0.6</v>
      </c>
      <c r="G109">
        <v>3.91</v>
      </c>
      <c r="H109">
        <v>2</v>
      </c>
      <c r="I109" t="s">
        <v>40</v>
      </c>
      <c r="J109">
        <v>5</v>
      </c>
      <c r="K109">
        <v>10</v>
      </c>
      <c r="L109">
        <v>7</v>
      </c>
      <c r="M109">
        <v>0</v>
      </c>
    </row>
    <row r="110" spans="1:13" x14ac:dyDescent="0.25">
      <c r="A110">
        <v>14</v>
      </c>
      <c r="B110" t="s">
        <v>34</v>
      </c>
      <c r="C110">
        <v>2.2999999999999998</v>
      </c>
      <c r="D110" t="s">
        <v>38</v>
      </c>
      <c r="E110">
        <v>8</v>
      </c>
      <c r="F110">
        <v>2.5</v>
      </c>
      <c r="G110">
        <v>3.08</v>
      </c>
      <c r="H110">
        <v>1.7</v>
      </c>
      <c r="I110" t="s">
        <v>40</v>
      </c>
      <c r="J110">
        <v>5</v>
      </c>
      <c r="K110">
        <v>6</v>
      </c>
      <c r="L110">
        <v>7</v>
      </c>
      <c r="M110">
        <v>0</v>
      </c>
    </row>
    <row r="111" spans="1:13" x14ac:dyDescent="0.25">
      <c r="A111">
        <v>17</v>
      </c>
      <c r="B111" t="s">
        <v>34</v>
      </c>
      <c r="C111">
        <v>7.7</v>
      </c>
      <c r="D111" t="s">
        <v>38</v>
      </c>
      <c r="E111">
        <v>8.5</v>
      </c>
      <c r="F111">
        <v>1.2</v>
      </c>
      <c r="G111">
        <v>3.56</v>
      </c>
      <c r="H111">
        <v>0</v>
      </c>
      <c r="I111" t="s">
        <v>40</v>
      </c>
      <c r="J111">
        <v>7</v>
      </c>
      <c r="K111">
        <v>10</v>
      </c>
      <c r="L111">
        <v>7</v>
      </c>
      <c r="M111">
        <v>0</v>
      </c>
    </row>
    <row r="112" spans="1:13" x14ac:dyDescent="0.25">
      <c r="A112">
        <v>16</v>
      </c>
      <c r="B112" t="s">
        <v>34</v>
      </c>
      <c r="C112">
        <v>4.8</v>
      </c>
      <c r="D112" t="s">
        <v>41</v>
      </c>
      <c r="E112">
        <v>7.1</v>
      </c>
      <c r="F112">
        <v>0.6</v>
      </c>
      <c r="G112">
        <v>3.36</v>
      </c>
      <c r="H112">
        <v>0.7</v>
      </c>
      <c r="I112" t="s">
        <v>39</v>
      </c>
      <c r="J112">
        <v>7</v>
      </c>
      <c r="K112">
        <v>6</v>
      </c>
      <c r="L112">
        <v>9</v>
      </c>
      <c r="M112">
        <v>0</v>
      </c>
    </row>
    <row r="113" spans="1:13" x14ac:dyDescent="0.25">
      <c r="A113">
        <v>17</v>
      </c>
      <c r="B113" t="s">
        <v>37</v>
      </c>
      <c r="C113">
        <v>5.2</v>
      </c>
      <c r="D113" t="s">
        <v>41</v>
      </c>
      <c r="E113">
        <v>6</v>
      </c>
      <c r="F113">
        <v>0.6</v>
      </c>
      <c r="G113">
        <v>3.07</v>
      </c>
      <c r="H113">
        <v>0.6</v>
      </c>
      <c r="I113" t="s">
        <v>40</v>
      </c>
      <c r="J113">
        <v>6</v>
      </c>
      <c r="K113">
        <v>2</v>
      </c>
      <c r="L113">
        <v>9</v>
      </c>
      <c r="M113">
        <v>0</v>
      </c>
    </row>
    <row r="114" spans="1:13" x14ac:dyDescent="0.25">
      <c r="A114">
        <v>13</v>
      </c>
      <c r="B114" t="s">
        <v>34</v>
      </c>
      <c r="C114">
        <v>5.7</v>
      </c>
      <c r="D114" t="s">
        <v>41</v>
      </c>
      <c r="E114">
        <v>6.6</v>
      </c>
      <c r="F114">
        <v>2.4</v>
      </c>
      <c r="G114">
        <v>3.99</v>
      </c>
      <c r="H114">
        <v>1.7</v>
      </c>
      <c r="I114" t="s">
        <v>39</v>
      </c>
      <c r="J114">
        <v>1</v>
      </c>
      <c r="K114">
        <v>3</v>
      </c>
      <c r="L114">
        <v>1</v>
      </c>
      <c r="M114">
        <v>0</v>
      </c>
    </row>
    <row r="115" spans="1:13" x14ac:dyDescent="0.25">
      <c r="A115">
        <v>15</v>
      </c>
      <c r="B115" t="s">
        <v>34</v>
      </c>
      <c r="C115">
        <v>4.5999999999999996</v>
      </c>
      <c r="D115" t="s">
        <v>38</v>
      </c>
      <c r="E115">
        <v>5.2</v>
      </c>
      <c r="F115">
        <v>1.4</v>
      </c>
      <c r="G115">
        <v>2.98</v>
      </c>
      <c r="H115">
        <v>1.9</v>
      </c>
      <c r="I115" t="s">
        <v>36</v>
      </c>
      <c r="J115">
        <v>1</v>
      </c>
      <c r="K115">
        <v>4</v>
      </c>
      <c r="L115">
        <v>5</v>
      </c>
      <c r="M115">
        <v>0</v>
      </c>
    </row>
    <row r="116" spans="1:13" x14ac:dyDescent="0.25">
      <c r="A116">
        <v>13</v>
      </c>
      <c r="B116" t="s">
        <v>34</v>
      </c>
      <c r="C116">
        <v>4.3</v>
      </c>
      <c r="D116" t="s">
        <v>38</v>
      </c>
      <c r="E116">
        <v>7.5</v>
      </c>
      <c r="F116">
        <v>2.7</v>
      </c>
      <c r="G116">
        <v>2.29</v>
      </c>
      <c r="H116">
        <v>0.8</v>
      </c>
      <c r="I116" t="s">
        <v>39</v>
      </c>
      <c r="J116">
        <v>1</v>
      </c>
      <c r="K116">
        <v>10</v>
      </c>
      <c r="L116">
        <v>1</v>
      </c>
      <c r="M116">
        <v>0</v>
      </c>
    </row>
    <row r="117" spans="1:13" x14ac:dyDescent="0.25">
      <c r="A117">
        <v>17</v>
      </c>
      <c r="B117" t="s">
        <v>37</v>
      </c>
      <c r="C117">
        <v>4.0999999999999996</v>
      </c>
      <c r="D117" t="s">
        <v>35</v>
      </c>
      <c r="E117">
        <v>8.6</v>
      </c>
      <c r="F117">
        <v>3</v>
      </c>
      <c r="G117">
        <v>2.77</v>
      </c>
      <c r="H117">
        <v>0.1</v>
      </c>
      <c r="I117" t="s">
        <v>40</v>
      </c>
      <c r="J117">
        <v>3</v>
      </c>
      <c r="K117">
        <v>6</v>
      </c>
      <c r="L117">
        <v>1</v>
      </c>
      <c r="M117">
        <v>0</v>
      </c>
    </row>
    <row r="118" spans="1:13" x14ac:dyDescent="0.25">
      <c r="A118">
        <v>15</v>
      </c>
      <c r="B118" t="s">
        <v>34</v>
      </c>
      <c r="C118">
        <v>6.5</v>
      </c>
      <c r="D118" t="s">
        <v>41</v>
      </c>
      <c r="E118">
        <v>8.1</v>
      </c>
      <c r="F118">
        <v>2</v>
      </c>
      <c r="G118">
        <v>3.89</v>
      </c>
      <c r="H118">
        <v>1.3</v>
      </c>
      <c r="I118" t="s">
        <v>39</v>
      </c>
      <c r="J118">
        <v>8</v>
      </c>
      <c r="K118">
        <v>2</v>
      </c>
      <c r="L118">
        <v>2</v>
      </c>
      <c r="M118">
        <v>0</v>
      </c>
    </row>
    <row r="119" spans="1:13" x14ac:dyDescent="0.25">
      <c r="A119">
        <v>19</v>
      </c>
      <c r="B119" t="s">
        <v>37</v>
      </c>
      <c r="C119">
        <v>7.8</v>
      </c>
      <c r="D119" t="s">
        <v>41</v>
      </c>
      <c r="E119">
        <v>8.8000000000000007</v>
      </c>
      <c r="F119">
        <v>2.1</v>
      </c>
      <c r="G119">
        <v>3.75</v>
      </c>
      <c r="H119">
        <v>1.3</v>
      </c>
      <c r="I119" t="s">
        <v>39</v>
      </c>
      <c r="J119">
        <v>10</v>
      </c>
      <c r="K119">
        <v>9</v>
      </c>
      <c r="L119">
        <v>6</v>
      </c>
      <c r="M119">
        <v>0</v>
      </c>
    </row>
    <row r="120" spans="1:13" x14ac:dyDescent="0.25">
      <c r="A120">
        <v>17</v>
      </c>
      <c r="B120" t="s">
        <v>34</v>
      </c>
      <c r="C120">
        <v>6.5</v>
      </c>
      <c r="D120" t="s">
        <v>35</v>
      </c>
      <c r="E120">
        <v>4.0999999999999996</v>
      </c>
      <c r="F120">
        <v>2.7</v>
      </c>
      <c r="G120">
        <v>3.66</v>
      </c>
      <c r="H120">
        <v>1.1000000000000001</v>
      </c>
      <c r="I120" t="s">
        <v>40</v>
      </c>
      <c r="J120">
        <v>6</v>
      </c>
      <c r="K120">
        <v>10</v>
      </c>
      <c r="L120">
        <v>10</v>
      </c>
      <c r="M120">
        <v>0</v>
      </c>
    </row>
    <row r="121" spans="1:13" x14ac:dyDescent="0.25">
      <c r="A121">
        <v>17</v>
      </c>
      <c r="B121" t="s">
        <v>37</v>
      </c>
      <c r="C121">
        <v>3.2</v>
      </c>
      <c r="D121" t="s">
        <v>38</v>
      </c>
      <c r="E121">
        <v>4.2</v>
      </c>
      <c r="F121">
        <v>0.6</v>
      </c>
      <c r="G121">
        <v>2.21</v>
      </c>
      <c r="H121">
        <v>1.4</v>
      </c>
      <c r="I121" t="s">
        <v>40</v>
      </c>
      <c r="J121">
        <v>6</v>
      </c>
      <c r="K121">
        <v>6</v>
      </c>
      <c r="L121">
        <v>3</v>
      </c>
      <c r="M121">
        <v>0</v>
      </c>
    </row>
    <row r="122" spans="1:13" x14ac:dyDescent="0.25">
      <c r="A122">
        <v>13</v>
      </c>
      <c r="B122" t="s">
        <v>34</v>
      </c>
      <c r="C122">
        <v>2.4</v>
      </c>
      <c r="D122" t="s">
        <v>38</v>
      </c>
      <c r="E122">
        <v>4.0999999999999996</v>
      </c>
      <c r="F122">
        <v>0.8</v>
      </c>
      <c r="G122">
        <v>2.79</v>
      </c>
      <c r="H122">
        <v>1.1000000000000001</v>
      </c>
      <c r="I122" t="s">
        <v>40</v>
      </c>
      <c r="J122">
        <v>8</v>
      </c>
      <c r="K122">
        <v>6</v>
      </c>
      <c r="L122">
        <v>3</v>
      </c>
      <c r="M122">
        <v>0</v>
      </c>
    </row>
    <row r="123" spans="1:13" x14ac:dyDescent="0.25">
      <c r="A123">
        <v>15</v>
      </c>
      <c r="B123" t="s">
        <v>37</v>
      </c>
      <c r="C123">
        <v>4</v>
      </c>
      <c r="D123" t="s">
        <v>35</v>
      </c>
      <c r="E123">
        <v>8.1</v>
      </c>
      <c r="F123">
        <v>2.1</v>
      </c>
      <c r="G123">
        <v>2.0099999999999998</v>
      </c>
      <c r="H123">
        <v>0.4</v>
      </c>
      <c r="I123" t="s">
        <v>40</v>
      </c>
      <c r="J123">
        <v>4</v>
      </c>
      <c r="K123">
        <v>8</v>
      </c>
      <c r="L123">
        <v>8</v>
      </c>
      <c r="M123">
        <v>0</v>
      </c>
    </row>
    <row r="124" spans="1:13" x14ac:dyDescent="0.25">
      <c r="A124">
        <v>17</v>
      </c>
      <c r="B124" t="s">
        <v>37</v>
      </c>
      <c r="C124">
        <v>6</v>
      </c>
      <c r="D124" t="s">
        <v>41</v>
      </c>
      <c r="E124">
        <v>8.8000000000000007</v>
      </c>
      <c r="F124">
        <v>1.3</v>
      </c>
      <c r="G124">
        <v>4</v>
      </c>
      <c r="H124">
        <v>0.9</v>
      </c>
      <c r="I124" t="s">
        <v>40</v>
      </c>
      <c r="J124">
        <v>8</v>
      </c>
      <c r="K124">
        <v>10</v>
      </c>
      <c r="L124">
        <v>7</v>
      </c>
      <c r="M124">
        <v>0</v>
      </c>
    </row>
    <row r="125" spans="1:13" x14ac:dyDescent="0.25">
      <c r="A125">
        <v>18</v>
      </c>
      <c r="B125" t="s">
        <v>34</v>
      </c>
      <c r="C125">
        <v>1.2</v>
      </c>
      <c r="D125" t="s">
        <v>38</v>
      </c>
      <c r="E125">
        <v>8</v>
      </c>
      <c r="F125">
        <v>1.7</v>
      </c>
      <c r="G125">
        <v>3.12</v>
      </c>
      <c r="H125">
        <v>0.1</v>
      </c>
      <c r="I125" t="s">
        <v>36</v>
      </c>
      <c r="J125">
        <v>6</v>
      </c>
      <c r="K125">
        <v>4</v>
      </c>
      <c r="L125">
        <v>2</v>
      </c>
      <c r="M125">
        <v>0</v>
      </c>
    </row>
    <row r="126" spans="1:13" x14ac:dyDescent="0.25">
      <c r="A126">
        <v>16</v>
      </c>
      <c r="B126" t="s">
        <v>34</v>
      </c>
      <c r="C126">
        <v>5.7</v>
      </c>
      <c r="D126" t="s">
        <v>41</v>
      </c>
      <c r="E126">
        <v>5.8</v>
      </c>
      <c r="F126">
        <v>2.8</v>
      </c>
      <c r="G126">
        <v>2.17</v>
      </c>
      <c r="H126">
        <v>0.5</v>
      </c>
      <c r="I126" t="s">
        <v>40</v>
      </c>
      <c r="J126">
        <v>3</v>
      </c>
      <c r="K126">
        <v>9</v>
      </c>
      <c r="L126">
        <v>2</v>
      </c>
      <c r="M126">
        <v>0</v>
      </c>
    </row>
    <row r="127" spans="1:13" x14ac:dyDescent="0.25">
      <c r="A127">
        <v>19</v>
      </c>
      <c r="B127" t="s">
        <v>34</v>
      </c>
      <c r="C127">
        <v>6.5</v>
      </c>
      <c r="D127" t="s">
        <v>41</v>
      </c>
      <c r="E127">
        <v>8.1</v>
      </c>
      <c r="F127">
        <v>2.2999999999999998</v>
      </c>
      <c r="G127">
        <v>2.21</v>
      </c>
      <c r="H127">
        <v>0.4</v>
      </c>
      <c r="I127" t="s">
        <v>39</v>
      </c>
      <c r="J127">
        <v>8</v>
      </c>
      <c r="K127">
        <v>8</v>
      </c>
      <c r="L127">
        <v>6</v>
      </c>
      <c r="M127">
        <v>0</v>
      </c>
    </row>
    <row r="128" spans="1:13" x14ac:dyDescent="0.25">
      <c r="A128">
        <v>16</v>
      </c>
      <c r="B128" t="s">
        <v>34</v>
      </c>
      <c r="C128">
        <v>6.6</v>
      </c>
      <c r="D128" t="s">
        <v>35</v>
      </c>
      <c r="E128">
        <v>5.6</v>
      </c>
      <c r="F128">
        <v>0.8</v>
      </c>
      <c r="G128">
        <v>3.48</v>
      </c>
      <c r="H128">
        <v>1.7</v>
      </c>
      <c r="I128" t="s">
        <v>40</v>
      </c>
      <c r="J128">
        <v>4</v>
      </c>
      <c r="K128">
        <v>3</v>
      </c>
      <c r="L128">
        <v>4</v>
      </c>
      <c r="M128">
        <v>0</v>
      </c>
    </row>
    <row r="129" spans="1:13" x14ac:dyDescent="0.25">
      <c r="A129">
        <v>13</v>
      </c>
      <c r="B129" t="s">
        <v>34</v>
      </c>
      <c r="C129">
        <v>6</v>
      </c>
      <c r="D129" t="s">
        <v>38</v>
      </c>
      <c r="E129">
        <v>7.2</v>
      </c>
      <c r="F129">
        <v>1.5</v>
      </c>
      <c r="G129">
        <v>2.36</v>
      </c>
      <c r="H129">
        <v>0.2</v>
      </c>
      <c r="I129" t="s">
        <v>36</v>
      </c>
      <c r="J129">
        <v>1</v>
      </c>
      <c r="K129">
        <v>3</v>
      </c>
      <c r="L129">
        <v>4</v>
      </c>
      <c r="M129">
        <v>0</v>
      </c>
    </row>
    <row r="130" spans="1:13" x14ac:dyDescent="0.25">
      <c r="A130">
        <v>18</v>
      </c>
      <c r="B130" t="s">
        <v>37</v>
      </c>
      <c r="C130">
        <v>1.1000000000000001</v>
      </c>
      <c r="D130" t="s">
        <v>41</v>
      </c>
      <c r="E130">
        <v>8</v>
      </c>
      <c r="F130">
        <v>2.7</v>
      </c>
      <c r="G130">
        <v>2.04</v>
      </c>
      <c r="H130">
        <v>0.1</v>
      </c>
      <c r="I130" t="s">
        <v>36</v>
      </c>
      <c r="J130">
        <v>7</v>
      </c>
      <c r="K130">
        <v>10</v>
      </c>
      <c r="L130">
        <v>2</v>
      </c>
      <c r="M130">
        <v>0</v>
      </c>
    </row>
    <row r="131" spans="1:13" x14ac:dyDescent="0.25">
      <c r="A131">
        <v>13</v>
      </c>
      <c r="B131" t="s">
        <v>37</v>
      </c>
      <c r="C131">
        <v>3.8</v>
      </c>
      <c r="D131" t="s">
        <v>35</v>
      </c>
      <c r="E131">
        <v>7.9</v>
      </c>
      <c r="F131">
        <v>1.3</v>
      </c>
      <c r="G131">
        <v>3.97</v>
      </c>
      <c r="H131">
        <v>0.2</v>
      </c>
      <c r="I131" t="s">
        <v>40</v>
      </c>
      <c r="J131">
        <v>7</v>
      </c>
      <c r="K131">
        <v>10</v>
      </c>
      <c r="L131">
        <v>9</v>
      </c>
      <c r="M131">
        <v>0</v>
      </c>
    </row>
    <row r="132" spans="1:13" x14ac:dyDescent="0.25">
      <c r="A132">
        <v>13</v>
      </c>
      <c r="B132" t="s">
        <v>37</v>
      </c>
      <c r="C132">
        <v>4.7</v>
      </c>
      <c r="D132" t="s">
        <v>41</v>
      </c>
      <c r="E132">
        <v>6.8</v>
      </c>
      <c r="F132">
        <v>1.7</v>
      </c>
      <c r="G132">
        <v>3.27</v>
      </c>
      <c r="H132">
        <v>1.4</v>
      </c>
      <c r="I132" t="s">
        <v>36</v>
      </c>
      <c r="J132">
        <v>4</v>
      </c>
      <c r="K132">
        <v>2</v>
      </c>
      <c r="L132">
        <v>4</v>
      </c>
      <c r="M132">
        <v>0</v>
      </c>
    </row>
    <row r="133" spans="1:13" x14ac:dyDescent="0.25">
      <c r="A133">
        <v>15</v>
      </c>
      <c r="B133" t="s">
        <v>34</v>
      </c>
      <c r="C133">
        <v>7.4</v>
      </c>
      <c r="D133" t="s">
        <v>38</v>
      </c>
      <c r="E133">
        <v>6.3</v>
      </c>
      <c r="F133">
        <v>1.3</v>
      </c>
      <c r="G133">
        <v>3.47</v>
      </c>
      <c r="H133">
        <v>1.2</v>
      </c>
      <c r="I133" t="s">
        <v>40</v>
      </c>
      <c r="J133">
        <v>1</v>
      </c>
      <c r="K133">
        <v>3</v>
      </c>
      <c r="L133">
        <v>9</v>
      </c>
      <c r="M133">
        <v>0</v>
      </c>
    </row>
    <row r="134" spans="1:13" x14ac:dyDescent="0.25">
      <c r="A134">
        <v>17</v>
      </c>
      <c r="B134" t="s">
        <v>34</v>
      </c>
      <c r="C134">
        <v>3.9</v>
      </c>
      <c r="D134" t="s">
        <v>35</v>
      </c>
      <c r="E134">
        <v>7.1</v>
      </c>
      <c r="F134">
        <v>2.4</v>
      </c>
      <c r="G134">
        <v>3.82</v>
      </c>
      <c r="H134">
        <v>0.8</v>
      </c>
      <c r="I134" t="s">
        <v>39</v>
      </c>
      <c r="J134">
        <v>3</v>
      </c>
      <c r="K134">
        <v>6</v>
      </c>
      <c r="L134">
        <v>10</v>
      </c>
      <c r="M134">
        <v>0</v>
      </c>
    </row>
    <row r="135" spans="1:13" x14ac:dyDescent="0.25">
      <c r="A135">
        <v>18</v>
      </c>
      <c r="B135" t="s">
        <v>34</v>
      </c>
      <c r="C135">
        <v>3.1</v>
      </c>
      <c r="D135" t="s">
        <v>35</v>
      </c>
      <c r="E135">
        <v>5.7</v>
      </c>
      <c r="F135">
        <v>2.9</v>
      </c>
      <c r="G135">
        <v>3.1</v>
      </c>
      <c r="H135">
        <v>0.6</v>
      </c>
      <c r="I135" t="s">
        <v>40</v>
      </c>
      <c r="J135">
        <v>9</v>
      </c>
      <c r="K135">
        <v>4</v>
      </c>
      <c r="L135">
        <v>2</v>
      </c>
      <c r="M135">
        <v>0</v>
      </c>
    </row>
    <row r="136" spans="1:13" x14ac:dyDescent="0.25">
      <c r="A136">
        <v>16</v>
      </c>
      <c r="B136" t="s">
        <v>37</v>
      </c>
      <c r="C136">
        <v>2.6</v>
      </c>
      <c r="D136" t="s">
        <v>38</v>
      </c>
      <c r="E136">
        <v>8.8000000000000007</v>
      </c>
      <c r="F136">
        <v>1.7</v>
      </c>
      <c r="G136">
        <v>2.39</v>
      </c>
      <c r="H136">
        <v>1</v>
      </c>
      <c r="I136" t="s">
        <v>40</v>
      </c>
      <c r="J136">
        <v>5</v>
      </c>
      <c r="K136">
        <v>2</v>
      </c>
      <c r="L136">
        <v>6</v>
      </c>
      <c r="M136">
        <v>0</v>
      </c>
    </row>
    <row r="137" spans="1:13" x14ac:dyDescent="0.25">
      <c r="A137">
        <v>13</v>
      </c>
      <c r="B137" t="s">
        <v>34</v>
      </c>
      <c r="C137">
        <v>5</v>
      </c>
      <c r="D137" t="s">
        <v>38</v>
      </c>
      <c r="E137">
        <v>6.9</v>
      </c>
      <c r="F137">
        <v>0.6</v>
      </c>
      <c r="G137">
        <v>3.03</v>
      </c>
      <c r="H137">
        <v>0.8</v>
      </c>
      <c r="I137" t="s">
        <v>36</v>
      </c>
      <c r="J137">
        <v>9</v>
      </c>
      <c r="K137">
        <v>3</v>
      </c>
      <c r="L137">
        <v>8</v>
      </c>
      <c r="M137">
        <v>0</v>
      </c>
    </row>
    <row r="138" spans="1:13" x14ac:dyDescent="0.25">
      <c r="A138">
        <v>18</v>
      </c>
      <c r="B138" t="s">
        <v>34</v>
      </c>
      <c r="C138">
        <v>4.5</v>
      </c>
      <c r="D138" t="s">
        <v>35</v>
      </c>
      <c r="E138">
        <v>8.1</v>
      </c>
      <c r="F138">
        <v>1.6</v>
      </c>
      <c r="G138">
        <v>3.72</v>
      </c>
      <c r="H138">
        <v>1.2</v>
      </c>
      <c r="I138" t="s">
        <v>36</v>
      </c>
      <c r="J138">
        <v>1</v>
      </c>
      <c r="K138">
        <v>2</v>
      </c>
      <c r="L138">
        <v>1</v>
      </c>
      <c r="M138">
        <v>0</v>
      </c>
    </row>
    <row r="139" spans="1:13" x14ac:dyDescent="0.25">
      <c r="A139">
        <v>17</v>
      </c>
      <c r="B139" t="s">
        <v>34</v>
      </c>
      <c r="C139">
        <v>2.1</v>
      </c>
      <c r="D139" t="s">
        <v>38</v>
      </c>
      <c r="E139">
        <v>4.7</v>
      </c>
      <c r="F139">
        <v>2</v>
      </c>
      <c r="G139">
        <v>2.99</v>
      </c>
      <c r="H139">
        <v>1.9</v>
      </c>
      <c r="I139" t="s">
        <v>36</v>
      </c>
      <c r="J139">
        <v>5</v>
      </c>
      <c r="K139">
        <v>1</v>
      </c>
      <c r="L139">
        <v>8</v>
      </c>
      <c r="M139">
        <v>0</v>
      </c>
    </row>
    <row r="140" spans="1:13" x14ac:dyDescent="0.25">
      <c r="A140">
        <v>14</v>
      </c>
      <c r="B140" t="s">
        <v>37</v>
      </c>
      <c r="C140">
        <v>6.4</v>
      </c>
      <c r="D140" t="s">
        <v>35</v>
      </c>
      <c r="E140">
        <v>6</v>
      </c>
      <c r="F140">
        <v>1.1000000000000001</v>
      </c>
      <c r="G140">
        <v>3.81</v>
      </c>
      <c r="H140">
        <v>0.9</v>
      </c>
      <c r="I140" t="s">
        <v>40</v>
      </c>
      <c r="J140">
        <v>8</v>
      </c>
      <c r="K140">
        <v>2</v>
      </c>
      <c r="L140">
        <v>3</v>
      </c>
      <c r="M140">
        <v>0</v>
      </c>
    </row>
    <row r="141" spans="1:13" x14ac:dyDescent="0.25">
      <c r="A141">
        <v>15</v>
      </c>
      <c r="B141" t="s">
        <v>37</v>
      </c>
      <c r="C141">
        <v>2.2999999999999998</v>
      </c>
      <c r="D141" t="s">
        <v>38</v>
      </c>
      <c r="E141">
        <v>6.5</v>
      </c>
      <c r="F141">
        <v>2.6</v>
      </c>
      <c r="G141">
        <v>3.18</v>
      </c>
      <c r="H141">
        <v>0.1</v>
      </c>
      <c r="I141" t="s">
        <v>36</v>
      </c>
      <c r="J141">
        <v>1</v>
      </c>
      <c r="K141">
        <v>8</v>
      </c>
      <c r="L141">
        <v>4</v>
      </c>
      <c r="M141">
        <v>0</v>
      </c>
    </row>
    <row r="142" spans="1:13" x14ac:dyDescent="0.25">
      <c r="A142">
        <v>13</v>
      </c>
      <c r="B142" t="s">
        <v>37</v>
      </c>
      <c r="C142">
        <v>4.4000000000000004</v>
      </c>
      <c r="D142" t="s">
        <v>38</v>
      </c>
      <c r="E142">
        <v>8.8000000000000007</v>
      </c>
      <c r="F142">
        <v>1.3</v>
      </c>
      <c r="G142">
        <v>2.69</v>
      </c>
      <c r="H142">
        <v>0.4</v>
      </c>
      <c r="I142" t="s">
        <v>36</v>
      </c>
      <c r="J142">
        <v>3</v>
      </c>
      <c r="K142">
        <v>1</v>
      </c>
      <c r="L142">
        <v>7</v>
      </c>
      <c r="M142">
        <v>0</v>
      </c>
    </row>
    <row r="143" spans="1:13" x14ac:dyDescent="0.25">
      <c r="A143">
        <v>19</v>
      </c>
      <c r="B143" t="s">
        <v>34</v>
      </c>
      <c r="C143">
        <v>2.2999999999999998</v>
      </c>
      <c r="D143" t="s">
        <v>35</v>
      </c>
      <c r="E143">
        <v>6.9</v>
      </c>
      <c r="F143">
        <v>2.2999999999999998</v>
      </c>
      <c r="G143">
        <v>2.17</v>
      </c>
      <c r="H143">
        <v>1.6</v>
      </c>
      <c r="I143" t="s">
        <v>40</v>
      </c>
      <c r="J143">
        <v>3</v>
      </c>
      <c r="K143">
        <v>6</v>
      </c>
      <c r="L143">
        <v>10</v>
      </c>
      <c r="M143">
        <v>0</v>
      </c>
    </row>
    <row r="144" spans="1:13" x14ac:dyDescent="0.25">
      <c r="A144">
        <v>13</v>
      </c>
      <c r="B144" t="s">
        <v>34</v>
      </c>
      <c r="C144">
        <v>4.3</v>
      </c>
      <c r="D144" t="s">
        <v>35</v>
      </c>
      <c r="E144">
        <v>4.4000000000000004</v>
      </c>
      <c r="F144">
        <v>0.7</v>
      </c>
      <c r="G144">
        <v>3.19</v>
      </c>
      <c r="H144">
        <v>0.3</v>
      </c>
      <c r="I144" t="s">
        <v>36</v>
      </c>
      <c r="J144">
        <v>6</v>
      </c>
      <c r="K144">
        <v>2</v>
      </c>
      <c r="L144">
        <v>6</v>
      </c>
      <c r="M144">
        <v>0</v>
      </c>
    </row>
    <row r="145" spans="1:13" x14ac:dyDescent="0.25">
      <c r="A145">
        <v>18</v>
      </c>
      <c r="B145" t="s">
        <v>37</v>
      </c>
      <c r="C145">
        <v>3.9</v>
      </c>
      <c r="D145" t="s">
        <v>38</v>
      </c>
      <c r="E145">
        <v>5.2</v>
      </c>
      <c r="F145">
        <v>1.8</v>
      </c>
      <c r="G145">
        <v>2.41</v>
      </c>
      <c r="H145">
        <v>0.6</v>
      </c>
      <c r="I145" t="s">
        <v>39</v>
      </c>
      <c r="J145">
        <v>9</v>
      </c>
      <c r="K145">
        <v>5</v>
      </c>
      <c r="L145">
        <v>5</v>
      </c>
      <c r="M145">
        <v>0</v>
      </c>
    </row>
    <row r="146" spans="1:13" x14ac:dyDescent="0.25">
      <c r="A146">
        <v>18</v>
      </c>
      <c r="B146" t="s">
        <v>34</v>
      </c>
      <c r="C146">
        <v>2.9</v>
      </c>
      <c r="D146" t="s">
        <v>38</v>
      </c>
      <c r="E146">
        <v>7.5</v>
      </c>
      <c r="F146">
        <v>0.9</v>
      </c>
      <c r="G146">
        <v>2.62</v>
      </c>
      <c r="H146">
        <v>2</v>
      </c>
      <c r="I146" t="s">
        <v>39</v>
      </c>
      <c r="J146">
        <v>3</v>
      </c>
      <c r="K146">
        <v>1</v>
      </c>
      <c r="L146">
        <v>9</v>
      </c>
      <c r="M146">
        <v>0</v>
      </c>
    </row>
    <row r="147" spans="1:13" x14ac:dyDescent="0.25">
      <c r="A147">
        <v>14</v>
      </c>
      <c r="B147" t="s">
        <v>34</v>
      </c>
      <c r="C147">
        <v>2.1</v>
      </c>
      <c r="D147" t="s">
        <v>35</v>
      </c>
      <c r="E147">
        <v>8.5</v>
      </c>
      <c r="F147">
        <v>1.1000000000000001</v>
      </c>
      <c r="G147">
        <v>3.03</v>
      </c>
      <c r="H147">
        <v>1.6</v>
      </c>
      <c r="I147" t="s">
        <v>40</v>
      </c>
      <c r="J147">
        <v>5</v>
      </c>
      <c r="K147">
        <v>6</v>
      </c>
      <c r="L147">
        <v>7</v>
      </c>
      <c r="M147">
        <v>0</v>
      </c>
    </row>
    <row r="148" spans="1:13" x14ac:dyDescent="0.25">
      <c r="A148">
        <v>14</v>
      </c>
      <c r="B148" t="s">
        <v>34</v>
      </c>
      <c r="C148">
        <v>2.1</v>
      </c>
      <c r="D148" t="s">
        <v>38</v>
      </c>
      <c r="E148">
        <v>5</v>
      </c>
      <c r="F148">
        <v>1.4</v>
      </c>
      <c r="G148">
        <v>2.96</v>
      </c>
      <c r="H148">
        <v>1.1000000000000001</v>
      </c>
      <c r="I148" t="s">
        <v>36</v>
      </c>
      <c r="J148">
        <v>7</v>
      </c>
      <c r="K148">
        <v>1</v>
      </c>
      <c r="L148">
        <v>9</v>
      </c>
      <c r="M148">
        <v>0</v>
      </c>
    </row>
    <row r="149" spans="1:13" x14ac:dyDescent="0.25">
      <c r="A149">
        <v>16</v>
      </c>
      <c r="B149" t="s">
        <v>34</v>
      </c>
      <c r="C149">
        <v>3.8</v>
      </c>
      <c r="D149" t="s">
        <v>38</v>
      </c>
      <c r="E149">
        <v>5.7</v>
      </c>
      <c r="F149">
        <v>1.3</v>
      </c>
      <c r="G149">
        <v>3.84</v>
      </c>
      <c r="H149">
        <v>1.6</v>
      </c>
      <c r="I149" t="s">
        <v>40</v>
      </c>
      <c r="J149">
        <v>3</v>
      </c>
      <c r="K149">
        <v>4</v>
      </c>
      <c r="L149">
        <v>10</v>
      </c>
      <c r="M149">
        <v>0</v>
      </c>
    </row>
    <row r="150" spans="1:13" x14ac:dyDescent="0.25">
      <c r="A150">
        <v>15</v>
      </c>
      <c r="B150" t="s">
        <v>37</v>
      </c>
      <c r="C150">
        <v>1.1000000000000001</v>
      </c>
      <c r="D150" t="s">
        <v>38</v>
      </c>
      <c r="E150">
        <v>8.1999999999999993</v>
      </c>
      <c r="F150">
        <v>0.7</v>
      </c>
      <c r="G150">
        <v>2.94</v>
      </c>
      <c r="H150">
        <v>0.7</v>
      </c>
      <c r="I150" t="s">
        <v>39</v>
      </c>
      <c r="J150">
        <v>10</v>
      </c>
      <c r="K150">
        <v>7</v>
      </c>
      <c r="L150">
        <v>9</v>
      </c>
      <c r="M150">
        <v>0</v>
      </c>
    </row>
    <row r="151" spans="1:13" x14ac:dyDescent="0.25">
      <c r="A151">
        <v>14</v>
      </c>
      <c r="B151" t="s">
        <v>34</v>
      </c>
      <c r="C151">
        <v>2.5</v>
      </c>
      <c r="D151" t="s">
        <v>41</v>
      </c>
      <c r="E151">
        <v>5.3</v>
      </c>
      <c r="F151">
        <v>2.4</v>
      </c>
      <c r="G151">
        <v>3.87</v>
      </c>
      <c r="H151">
        <v>1.3</v>
      </c>
      <c r="I151" t="s">
        <v>39</v>
      </c>
      <c r="J151">
        <v>10</v>
      </c>
      <c r="K151">
        <v>9</v>
      </c>
      <c r="L151">
        <v>6</v>
      </c>
      <c r="M151">
        <v>0</v>
      </c>
    </row>
    <row r="152" spans="1:13" x14ac:dyDescent="0.25">
      <c r="A152">
        <v>19</v>
      </c>
      <c r="B152" t="s">
        <v>37</v>
      </c>
      <c r="C152">
        <v>4.0999999999999996</v>
      </c>
      <c r="D152" t="s">
        <v>35</v>
      </c>
      <c r="E152">
        <v>6.4</v>
      </c>
      <c r="F152">
        <v>0.9</v>
      </c>
      <c r="G152">
        <v>2.4700000000000002</v>
      </c>
      <c r="H152">
        <v>1.2</v>
      </c>
      <c r="I152" t="s">
        <v>39</v>
      </c>
      <c r="J152">
        <v>7</v>
      </c>
      <c r="K152">
        <v>3</v>
      </c>
      <c r="L152">
        <v>4</v>
      </c>
      <c r="M152">
        <v>0</v>
      </c>
    </row>
    <row r="153" spans="1:13" x14ac:dyDescent="0.25">
      <c r="A153">
        <v>16</v>
      </c>
      <c r="B153" t="s">
        <v>34</v>
      </c>
      <c r="C153">
        <v>3</v>
      </c>
      <c r="D153" t="s">
        <v>35</v>
      </c>
      <c r="E153">
        <v>8.6</v>
      </c>
      <c r="F153">
        <v>1.5</v>
      </c>
      <c r="G153">
        <v>2.84</v>
      </c>
      <c r="H153">
        <v>0.3</v>
      </c>
      <c r="I153" t="s">
        <v>39</v>
      </c>
      <c r="J153">
        <v>6</v>
      </c>
      <c r="K153">
        <v>4</v>
      </c>
      <c r="L153">
        <v>3</v>
      </c>
      <c r="M153">
        <v>0</v>
      </c>
    </row>
    <row r="154" spans="1:13" x14ac:dyDescent="0.25">
      <c r="A154">
        <v>13</v>
      </c>
      <c r="B154" t="s">
        <v>37</v>
      </c>
      <c r="C154">
        <v>3.9</v>
      </c>
      <c r="D154" t="s">
        <v>35</v>
      </c>
      <c r="E154">
        <v>5</v>
      </c>
      <c r="F154">
        <v>0.7</v>
      </c>
      <c r="G154">
        <v>2.98</v>
      </c>
      <c r="H154">
        <v>0.3</v>
      </c>
      <c r="I154" t="s">
        <v>40</v>
      </c>
      <c r="J154">
        <v>10</v>
      </c>
      <c r="K154">
        <v>8</v>
      </c>
      <c r="L154">
        <v>3</v>
      </c>
      <c r="M154">
        <v>0</v>
      </c>
    </row>
    <row r="155" spans="1:13" x14ac:dyDescent="0.25">
      <c r="A155">
        <v>13</v>
      </c>
      <c r="B155" t="s">
        <v>34</v>
      </c>
      <c r="C155">
        <v>7</v>
      </c>
      <c r="D155" t="s">
        <v>38</v>
      </c>
      <c r="E155">
        <v>8.9</v>
      </c>
      <c r="F155">
        <v>0.6</v>
      </c>
      <c r="G155">
        <v>2.7</v>
      </c>
      <c r="H155">
        <v>1.8</v>
      </c>
      <c r="I155" t="s">
        <v>40</v>
      </c>
      <c r="J155">
        <v>5</v>
      </c>
      <c r="K155">
        <v>4</v>
      </c>
      <c r="L155">
        <v>1</v>
      </c>
      <c r="M155">
        <v>0</v>
      </c>
    </row>
    <row r="156" spans="1:13" x14ac:dyDescent="0.25">
      <c r="A156">
        <v>16</v>
      </c>
      <c r="B156" t="s">
        <v>34</v>
      </c>
      <c r="C156">
        <v>3.6</v>
      </c>
      <c r="D156" t="s">
        <v>41</v>
      </c>
      <c r="E156">
        <v>8.9</v>
      </c>
      <c r="F156">
        <v>1.9</v>
      </c>
      <c r="G156">
        <v>2.11</v>
      </c>
      <c r="H156">
        <v>1.7</v>
      </c>
      <c r="I156" t="s">
        <v>36</v>
      </c>
      <c r="J156">
        <v>9</v>
      </c>
      <c r="K156">
        <v>5</v>
      </c>
      <c r="L156">
        <v>2</v>
      </c>
      <c r="M156">
        <v>0</v>
      </c>
    </row>
    <row r="157" spans="1:13" x14ac:dyDescent="0.25">
      <c r="A157">
        <v>15</v>
      </c>
      <c r="B157" t="s">
        <v>34</v>
      </c>
      <c r="C157">
        <v>7.6</v>
      </c>
      <c r="D157" t="s">
        <v>35</v>
      </c>
      <c r="E157">
        <v>7.6</v>
      </c>
      <c r="F157">
        <v>2.7</v>
      </c>
      <c r="G157">
        <v>2.36</v>
      </c>
      <c r="H157">
        <v>1.2</v>
      </c>
      <c r="I157" t="s">
        <v>40</v>
      </c>
      <c r="J157">
        <v>5</v>
      </c>
      <c r="K157">
        <v>10</v>
      </c>
      <c r="L157">
        <v>3</v>
      </c>
      <c r="M157">
        <v>0</v>
      </c>
    </row>
    <row r="158" spans="1:13" x14ac:dyDescent="0.25">
      <c r="A158">
        <v>19</v>
      </c>
      <c r="B158" t="s">
        <v>34</v>
      </c>
      <c r="C158">
        <v>1.3</v>
      </c>
      <c r="D158" t="s">
        <v>35</v>
      </c>
      <c r="E158">
        <v>4.5</v>
      </c>
      <c r="F158">
        <v>0.7</v>
      </c>
      <c r="G158">
        <v>2.5099999999999998</v>
      </c>
      <c r="H158">
        <v>0.8</v>
      </c>
      <c r="I158" t="s">
        <v>36</v>
      </c>
      <c r="J158">
        <v>10</v>
      </c>
      <c r="K158">
        <v>9</v>
      </c>
      <c r="L158">
        <v>7</v>
      </c>
      <c r="M158">
        <v>0</v>
      </c>
    </row>
    <row r="159" spans="1:13" x14ac:dyDescent="0.25">
      <c r="A159">
        <v>17</v>
      </c>
      <c r="B159" t="s">
        <v>37</v>
      </c>
      <c r="C159">
        <v>2.1</v>
      </c>
      <c r="D159" t="s">
        <v>41</v>
      </c>
      <c r="E159">
        <v>7.8</v>
      </c>
      <c r="F159">
        <v>2.1</v>
      </c>
      <c r="G159">
        <v>3.29</v>
      </c>
      <c r="H159">
        <v>1.5</v>
      </c>
      <c r="I159" t="s">
        <v>36</v>
      </c>
      <c r="J159">
        <v>8</v>
      </c>
      <c r="K159">
        <v>1</v>
      </c>
      <c r="L159">
        <v>7</v>
      </c>
      <c r="M159">
        <v>0</v>
      </c>
    </row>
    <row r="160" spans="1:13" x14ac:dyDescent="0.25">
      <c r="A160">
        <v>15</v>
      </c>
      <c r="B160" t="s">
        <v>37</v>
      </c>
      <c r="C160">
        <v>2.7</v>
      </c>
      <c r="D160" t="s">
        <v>41</v>
      </c>
      <c r="E160">
        <v>8.8000000000000007</v>
      </c>
      <c r="F160">
        <v>1.9</v>
      </c>
      <c r="G160">
        <v>2.14</v>
      </c>
      <c r="H160">
        <v>0.4</v>
      </c>
      <c r="I160" t="s">
        <v>39</v>
      </c>
      <c r="J160">
        <v>8</v>
      </c>
      <c r="K160">
        <v>10</v>
      </c>
      <c r="L160">
        <v>3</v>
      </c>
      <c r="M160">
        <v>0</v>
      </c>
    </row>
    <row r="161" spans="1:13" x14ac:dyDescent="0.25">
      <c r="A161">
        <v>13</v>
      </c>
      <c r="B161" t="s">
        <v>34</v>
      </c>
      <c r="C161">
        <v>7.5</v>
      </c>
      <c r="D161" t="s">
        <v>41</v>
      </c>
      <c r="E161">
        <v>8</v>
      </c>
      <c r="F161">
        <v>2</v>
      </c>
      <c r="G161">
        <v>3.25</v>
      </c>
      <c r="H161">
        <v>0.7</v>
      </c>
      <c r="I161" t="s">
        <v>40</v>
      </c>
      <c r="J161">
        <v>9</v>
      </c>
      <c r="K161">
        <v>10</v>
      </c>
      <c r="L161">
        <v>2</v>
      </c>
      <c r="M161">
        <v>0</v>
      </c>
    </row>
    <row r="162" spans="1:13" x14ac:dyDescent="0.25">
      <c r="A162">
        <v>16</v>
      </c>
      <c r="B162" t="s">
        <v>37</v>
      </c>
      <c r="C162">
        <v>6.1</v>
      </c>
      <c r="D162" t="s">
        <v>41</v>
      </c>
      <c r="E162">
        <v>8.8000000000000007</v>
      </c>
      <c r="F162">
        <v>1.7</v>
      </c>
      <c r="G162">
        <v>3.55</v>
      </c>
      <c r="H162">
        <v>1.3</v>
      </c>
      <c r="I162" t="s">
        <v>40</v>
      </c>
      <c r="J162">
        <v>6</v>
      </c>
      <c r="K162">
        <v>10</v>
      </c>
      <c r="L162">
        <v>9</v>
      </c>
      <c r="M162">
        <v>0</v>
      </c>
    </row>
    <row r="163" spans="1:13" x14ac:dyDescent="0.25">
      <c r="A163">
        <v>19</v>
      </c>
      <c r="B163" t="s">
        <v>34</v>
      </c>
      <c r="C163">
        <v>2.4</v>
      </c>
      <c r="D163" t="s">
        <v>41</v>
      </c>
      <c r="E163">
        <v>7.4</v>
      </c>
      <c r="F163">
        <v>1.2</v>
      </c>
      <c r="G163">
        <v>2.5</v>
      </c>
      <c r="H163">
        <v>1.8</v>
      </c>
      <c r="I163" t="s">
        <v>39</v>
      </c>
      <c r="J163">
        <v>2</v>
      </c>
      <c r="K163">
        <v>5</v>
      </c>
      <c r="L163">
        <v>2</v>
      </c>
      <c r="M163">
        <v>0</v>
      </c>
    </row>
    <row r="164" spans="1:13" x14ac:dyDescent="0.25">
      <c r="A164">
        <v>19</v>
      </c>
      <c r="B164" t="s">
        <v>34</v>
      </c>
      <c r="C164">
        <v>2</v>
      </c>
      <c r="D164" t="s">
        <v>38</v>
      </c>
      <c r="E164">
        <v>5.3</v>
      </c>
      <c r="F164">
        <v>1.7</v>
      </c>
      <c r="G164">
        <v>2.91</v>
      </c>
      <c r="H164">
        <v>0.8</v>
      </c>
      <c r="I164" t="s">
        <v>36</v>
      </c>
      <c r="J164">
        <v>9</v>
      </c>
      <c r="K164">
        <v>5</v>
      </c>
      <c r="L164">
        <v>9</v>
      </c>
      <c r="M164">
        <v>0</v>
      </c>
    </row>
    <row r="165" spans="1:13" x14ac:dyDescent="0.25">
      <c r="A165">
        <v>15</v>
      </c>
      <c r="B165" t="s">
        <v>37</v>
      </c>
      <c r="C165">
        <v>7.8</v>
      </c>
      <c r="D165" t="s">
        <v>38</v>
      </c>
      <c r="E165">
        <v>5.3</v>
      </c>
      <c r="F165">
        <v>0.5</v>
      </c>
      <c r="G165">
        <v>2.3199999999999998</v>
      </c>
      <c r="H165">
        <v>0.8</v>
      </c>
      <c r="I165" t="s">
        <v>36</v>
      </c>
      <c r="J165">
        <v>8</v>
      </c>
      <c r="K165">
        <v>9</v>
      </c>
      <c r="L165">
        <v>3</v>
      </c>
      <c r="M165">
        <v>1</v>
      </c>
    </row>
    <row r="166" spans="1:13" x14ac:dyDescent="0.25">
      <c r="A166">
        <v>16</v>
      </c>
      <c r="B166" t="s">
        <v>37</v>
      </c>
      <c r="C166">
        <v>6.8</v>
      </c>
      <c r="D166" t="s">
        <v>38</v>
      </c>
      <c r="E166">
        <v>7.2</v>
      </c>
      <c r="F166">
        <v>2.5</v>
      </c>
      <c r="G166">
        <v>3.61</v>
      </c>
      <c r="H166">
        <v>0.5</v>
      </c>
      <c r="I166" t="s">
        <v>40</v>
      </c>
      <c r="J166">
        <v>10</v>
      </c>
      <c r="K166">
        <v>1</v>
      </c>
      <c r="L166">
        <v>9</v>
      </c>
      <c r="M166">
        <v>0</v>
      </c>
    </row>
    <row r="167" spans="1:13" x14ac:dyDescent="0.25">
      <c r="A167">
        <v>17</v>
      </c>
      <c r="B167" t="s">
        <v>34</v>
      </c>
      <c r="C167">
        <v>8</v>
      </c>
      <c r="D167" t="s">
        <v>35</v>
      </c>
      <c r="E167">
        <v>4.5999999999999996</v>
      </c>
      <c r="F167">
        <v>2.6</v>
      </c>
      <c r="G167">
        <v>3.06</v>
      </c>
      <c r="H167">
        <v>0.1</v>
      </c>
      <c r="I167" t="s">
        <v>39</v>
      </c>
      <c r="J167">
        <v>9</v>
      </c>
      <c r="K167">
        <v>2</v>
      </c>
      <c r="L167">
        <v>6</v>
      </c>
      <c r="M167">
        <v>0</v>
      </c>
    </row>
    <row r="168" spans="1:13" x14ac:dyDescent="0.25">
      <c r="A168">
        <v>13</v>
      </c>
      <c r="B168" t="s">
        <v>37</v>
      </c>
      <c r="C168">
        <v>7.3</v>
      </c>
      <c r="D168" t="s">
        <v>41</v>
      </c>
      <c r="E168">
        <v>8.9</v>
      </c>
      <c r="F168">
        <v>2.7</v>
      </c>
      <c r="G168">
        <v>3.68</v>
      </c>
      <c r="H168">
        <v>1.9</v>
      </c>
      <c r="I168" t="s">
        <v>36</v>
      </c>
      <c r="J168">
        <v>6</v>
      </c>
      <c r="K168">
        <v>6</v>
      </c>
      <c r="L168">
        <v>10</v>
      </c>
      <c r="M168">
        <v>0</v>
      </c>
    </row>
    <row r="169" spans="1:13" x14ac:dyDescent="0.25">
      <c r="A169">
        <v>15</v>
      </c>
      <c r="B169" t="s">
        <v>37</v>
      </c>
      <c r="C169">
        <v>1.5</v>
      </c>
      <c r="D169" t="s">
        <v>41</v>
      </c>
      <c r="E169">
        <v>8.6999999999999993</v>
      </c>
      <c r="F169">
        <v>1.2</v>
      </c>
      <c r="G169">
        <v>2.52</v>
      </c>
      <c r="H169">
        <v>0.1</v>
      </c>
      <c r="I169" t="s">
        <v>36</v>
      </c>
      <c r="J169">
        <v>9</v>
      </c>
      <c r="K169">
        <v>7</v>
      </c>
      <c r="L169">
        <v>2</v>
      </c>
      <c r="M169">
        <v>0</v>
      </c>
    </row>
    <row r="170" spans="1:13" x14ac:dyDescent="0.25">
      <c r="A170">
        <v>15</v>
      </c>
      <c r="B170" t="s">
        <v>37</v>
      </c>
      <c r="C170">
        <v>3.4</v>
      </c>
      <c r="D170" t="s">
        <v>35</v>
      </c>
      <c r="E170">
        <v>5</v>
      </c>
      <c r="F170">
        <v>1.8</v>
      </c>
      <c r="G170">
        <v>3.2</v>
      </c>
      <c r="H170">
        <v>1.5</v>
      </c>
      <c r="I170" t="s">
        <v>40</v>
      </c>
      <c r="J170">
        <v>4</v>
      </c>
      <c r="K170">
        <v>5</v>
      </c>
      <c r="L170">
        <v>1</v>
      </c>
      <c r="M170">
        <v>0</v>
      </c>
    </row>
    <row r="171" spans="1:13" x14ac:dyDescent="0.25">
      <c r="A171">
        <v>15</v>
      </c>
      <c r="B171" t="s">
        <v>34</v>
      </c>
      <c r="C171">
        <v>7.3</v>
      </c>
      <c r="D171" t="s">
        <v>41</v>
      </c>
      <c r="E171">
        <v>4.8</v>
      </c>
      <c r="F171">
        <v>2.6</v>
      </c>
      <c r="G171">
        <v>3.81</v>
      </c>
      <c r="H171">
        <v>1.5</v>
      </c>
      <c r="I171" t="s">
        <v>36</v>
      </c>
      <c r="J171">
        <v>4</v>
      </c>
      <c r="K171">
        <v>7</v>
      </c>
      <c r="L171">
        <v>4</v>
      </c>
      <c r="M171">
        <v>0</v>
      </c>
    </row>
    <row r="172" spans="1:13" x14ac:dyDescent="0.25">
      <c r="A172">
        <v>13</v>
      </c>
      <c r="B172" t="s">
        <v>37</v>
      </c>
      <c r="C172">
        <v>1.9</v>
      </c>
      <c r="D172" t="s">
        <v>38</v>
      </c>
      <c r="E172">
        <v>8.5</v>
      </c>
      <c r="F172">
        <v>0.8</v>
      </c>
      <c r="G172">
        <v>3.33</v>
      </c>
      <c r="H172">
        <v>1.3</v>
      </c>
      <c r="I172" t="s">
        <v>40</v>
      </c>
      <c r="J172">
        <v>5</v>
      </c>
      <c r="K172">
        <v>1</v>
      </c>
      <c r="L172">
        <v>3</v>
      </c>
      <c r="M172">
        <v>0</v>
      </c>
    </row>
    <row r="173" spans="1:13" x14ac:dyDescent="0.25">
      <c r="A173">
        <v>17</v>
      </c>
      <c r="B173" t="s">
        <v>37</v>
      </c>
      <c r="C173">
        <v>3.9</v>
      </c>
      <c r="D173" t="s">
        <v>35</v>
      </c>
      <c r="E173">
        <v>8.1999999999999993</v>
      </c>
      <c r="F173">
        <v>1.3</v>
      </c>
      <c r="G173">
        <v>3.21</v>
      </c>
      <c r="H173">
        <v>1.8</v>
      </c>
      <c r="I173" t="s">
        <v>40</v>
      </c>
      <c r="J173">
        <v>3</v>
      </c>
      <c r="K173">
        <v>7</v>
      </c>
      <c r="L173">
        <v>7</v>
      </c>
      <c r="M173">
        <v>0</v>
      </c>
    </row>
    <row r="174" spans="1:13" x14ac:dyDescent="0.25">
      <c r="A174">
        <v>18</v>
      </c>
      <c r="B174" t="s">
        <v>34</v>
      </c>
      <c r="C174">
        <v>1.3</v>
      </c>
      <c r="D174" t="s">
        <v>35</v>
      </c>
      <c r="E174">
        <v>5.8</v>
      </c>
      <c r="F174">
        <v>1.3</v>
      </c>
      <c r="G174">
        <v>3.35</v>
      </c>
      <c r="H174">
        <v>1.9</v>
      </c>
      <c r="I174" t="s">
        <v>40</v>
      </c>
      <c r="J174">
        <v>9</v>
      </c>
      <c r="K174">
        <v>4</v>
      </c>
      <c r="L174">
        <v>9</v>
      </c>
      <c r="M174">
        <v>0</v>
      </c>
    </row>
    <row r="175" spans="1:13" x14ac:dyDescent="0.25">
      <c r="A175">
        <v>19</v>
      </c>
      <c r="B175" t="s">
        <v>34</v>
      </c>
      <c r="C175">
        <v>4.7</v>
      </c>
      <c r="D175" t="s">
        <v>38</v>
      </c>
      <c r="E175">
        <v>8.1999999999999993</v>
      </c>
      <c r="F175">
        <v>1.8</v>
      </c>
      <c r="G175">
        <v>2.2599999999999998</v>
      </c>
      <c r="H175">
        <v>1</v>
      </c>
      <c r="I175" t="s">
        <v>36</v>
      </c>
      <c r="J175">
        <v>7</v>
      </c>
      <c r="K175">
        <v>4</v>
      </c>
      <c r="L175">
        <v>7</v>
      </c>
      <c r="M175">
        <v>0</v>
      </c>
    </row>
    <row r="176" spans="1:13" x14ac:dyDescent="0.25">
      <c r="A176">
        <v>15</v>
      </c>
      <c r="B176" t="s">
        <v>34</v>
      </c>
      <c r="C176">
        <v>1.9</v>
      </c>
      <c r="D176" t="s">
        <v>38</v>
      </c>
      <c r="E176">
        <v>5.8</v>
      </c>
      <c r="F176">
        <v>2.2999999999999998</v>
      </c>
      <c r="G176">
        <v>2.4700000000000002</v>
      </c>
      <c r="H176">
        <v>0.3</v>
      </c>
      <c r="I176" t="s">
        <v>39</v>
      </c>
      <c r="J176">
        <v>10</v>
      </c>
      <c r="K176">
        <v>9</v>
      </c>
      <c r="L176">
        <v>4</v>
      </c>
      <c r="M176">
        <v>0</v>
      </c>
    </row>
    <row r="177" spans="1:13" x14ac:dyDescent="0.25">
      <c r="A177">
        <v>18</v>
      </c>
      <c r="B177" t="s">
        <v>37</v>
      </c>
      <c r="C177">
        <v>7</v>
      </c>
      <c r="D177" t="s">
        <v>41</v>
      </c>
      <c r="E177">
        <v>6.3</v>
      </c>
      <c r="F177">
        <v>1.6</v>
      </c>
      <c r="G177">
        <v>2.5499999999999998</v>
      </c>
      <c r="H177">
        <v>0.5</v>
      </c>
      <c r="I177" t="s">
        <v>40</v>
      </c>
      <c r="J177">
        <v>10</v>
      </c>
      <c r="K177">
        <v>1</v>
      </c>
      <c r="L177">
        <v>8</v>
      </c>
      <c r="M177">
        <v>0</v>
      </c>
    </row>
    <row r="178" spans="1:13" x14ac:dyDescent="0.25">
      <c r="A178">
        <v>15</v>
      </c>
      <c r="B178" t="s">
        <v>34</v>
      </c>
      <c r="C178">
        <v>6.2</v>
      </c>
      <c r="D178" t="s">
        <v>38</v>
      </c>
      <c r="E178">
        <v>6.3</v>
      </c>
      <c r="F178">
        <v>1.7</v>
      </c>
      <c r="G178">
        <v>2.2599999999999998</v>
      </c>
      <c r="H178">
        <v>1.1000000000000001</v>
      </c>
      <c r="I178" t="s">
        <v>39</v>
      </c>
      <c r="J178">
        <v>9</v>
      </c>
      <c r="K178">
        <v>6</v>
      </c>
      <c r="L178">
        <v>2</v>
      </c>
      <c r="M178">
        <v>0</v>
      </c>
    </row>
    <row r="179" spans="1:13" x14ac:dyDescent="0.25">
      <c r="A179">
        <v>14</v>
      </c>
      <c r="B179" t="s">
        <v>34</v>
      </c>
      <c r="C179">
        <v>3.2</v>
      </c>
      <c r="D179" t="s">
        <v>38</v>
      </c>
      <c r="E179">
        <v>8</v>
      </c>
      <c r="F179">
        <v>1.3</v>
      </c>
      <c r="G179">
        <v>2.5</v>
      </c>
      <c r="H179">
        <v>1.1000000000000001</v>
      </c>
      <c r="I179" t="s">
        <v>39</v>
      </c>
      <c r="J179">
        <v>2</v>
      </c>
      <c r="K179">
        <v>7</v>
      </c>
      <c r="L179">
        <v>5</v>
      </c>
      <c r="M179">
        <v>0</v>
      </c>
    </row>
    <row r="180" spans="1:13" x14ac:dyDescent="0.25">
      <c r="A180">
        <v>18</v>
      </c>
      <c r="B180" t="s">
        <v>37</v>
      </c>
      <c r="C180">
        <v>4.5</v>
      </c>
      <c r="D180" t="s">
        <v>41</v>
      </c>
      <c r="E180">
        <v>7.9</v>
      </c>
      <c r="F180">
        <v>1.4</v>
      </c>
      <c r="G180">
        <v>2.38</v>
      </c>
      <c r="H180">
        <v>0.1</v>
      </c>
      <c r="I180" t="s">
        <v>39</v>
      </c>
      <c r="J180">
        <v>7</v>
      </c>
      <c r="K180">
        <v>9</v>
      </c>
      <c r="L180">
        <v>1</v>
      </c>
      <c r="M180">
        <v>0</v>
      </c>
    </row>
    <row r="181" spans="1:13" x14ac:dyDescent="0.25">
      <c r="A181">
        <v>14</v>
      </c>
      <c r="B181" t="s">
        <v>37</v>
      </c>
      <c r="C181">
        <v>1.1000000000000001</v>
      </c>
      <c r="D181" t="s">
        <v>41</v>
      </c>
      <c r="E181">
        <v>6.1</v>
      </c>
      <c r="F181">
        <v>2.5</v>
      </c>
      <c r="G181">
        <v>2.8</v>
      </c>
      <c r="H181">
        <v>1.8</v>
      </c>
      <c r="I181" t="s">
        <v>39</v>
      </c>
      <c r="J181">
        <v>4</v>
      </c>
      <c r="K181">
        <v>10</v>
      </c>
      <c r="L181">
        <v>3</v>
      </c>
      <c r="M181">
        <v>0</v>
      </c>
    </row>
    <row r="182" spans="1:13" x14ac:dyDescent="0.25">
      <c r="A182">
        <v>13</v>
      </c>
      <c r="B182" t="s">
        <v>34</v>
      </c>
      <c r="C182">
        <v>5.9</v>
      </c>
      <c r="D182" t="s">
        <v>35</v>
      </c>
      <c r="E182">
        <v>8</v>
      </c>
      <c r="F182">
        <v>2.8</v>
      </c>
      <c r="G182">
        <v>3.21</v>
      </c>
      <c r="H182">
        <v>1.6</v>
      </c>
      <c r="I182" t="s">
        <v>40</v>
      </c>
      <c r="J182">
        <v>2</v>
      </c>
      <c r="K182">
        <v>8</v>
      </c>
      <c r="L182">
        <v>8</v>
      </c>
      <c r="M182">
        <v>0</v>
      </c>
    </row>
    <row r="183" spans="1:13" x14ac:dyDescent="0.25">
      <c r="A183">
        <v>17</v>
      </c>
      <c r="B183" t="s">
        <v>34</v>
      </c>
      <c r="C183">
        <v>5.0999999999999996</v>
      </c>
      <c r="D183" t="s">
        <v>41</v>
      </c>
      <c r="E183">
        <v>5</v>
      </c>
      <c r="F183">
        <v>2.2000000000000002</v>
      </c>
      <c r="G183">
        <v>3.58</v>
      </c>
      <c r="H183">
        <v>1.2</v>
      </c>
      <c r="I183" t="s">
        <v>39</v>
      </c>
      <c r="J183">
        <v>6</v>
      </c>
      <c r="K183">
        <v>3</v>
      </c>
      <c r="L183">
        <v>9</v>
      </c>
      <c r="M183">
        <v>0</v>
      </c>
    </row>
    <row r="184" spans="1:13" x14ac:dyDescent="0.25">
      <c r="A184">
        <v>15</v>
      </c>
      <c r="B184" t="s">
        <v>34</v>
      </c>
      <c r="C184">
        <v>1.6</v>
      </c>
      <c r="D184" t="s">
        <v>35</v>
      </c>
      <c r="E184">
        <v>6.9</v>
      </c>
      <c r="F184">
        <v>2.2999999999999998</v>
      </c>
      <c r="G184">
        <v>3.16</v>
      </c>
      <c r="H184">
        <v>0.9</v>
      </c>
      <c r="I184" t="s">
        <v>40</v>
      </c>
      <c r="J184">
        <v>3</v>
      </c>
      <c r="K184">
        <v>1</v>
      </c>
      <c r="L184">
        <v>5</v>
      </c>
      <c r="M184">
        <v>0</v>
      </c>
    </row>
    <row r="185" spans="1:13" x14ac:dyDescent="0.25">
      <c r="A185">
        <v>15</v>
      </c>
      <c r="B185" t="s">
        <v>37</v>
      </c>
      <c r="C185">
        <v>7.2</v>
      </c>
      <c r="D185" t="s">
        <v>38</v>
      </c>
      <c r="E185">
        <v>8</v>
      </c>
      <c r="F185">
        <v>1.4</v>
      </c>
      <c r="G185">
        <v>3.64</v>
      </c>
      <c r="H185">
        <v>0.4</v>
      </c>
      <c r="I185" t="s">
        <v>40</v>
      </c>
      <c r="J185">
        <v>10</v>
      </c>
      <c r="K185">
        <v>5</v>
      </c>
      <c r="L185">
        <v>7</v>
      </c>
      <c r="M185">
        <v>0</v>
      </c>
    </row>
    <row r="186" spans="1:13" x14ac:dyDescent="0.25">
      <c r="A186">
        <v>17</v>
      </c>
      <c r="B186" t="s">
        <v>37</v>
      </c>
      <c r="C186">
        <v>1.4</v>
      </c>
      <c r="D186" t="s">
        <v>35</v>
      </c>
      <c r="E186">
        <v>6.9</v>
      </c>
      <c r="F186">
        <v>2.4</v>
      </c>
      <c r="G186">
        <v>3.06</v>
      </c>
      <c r="H186">
        <v>1.9</v>
      </c>
      <c r="I186" t="s">
        <v>40</v>
      </c>
      <c r="J186">
        <v>4</v>
      </c>
      <c r="K186">
        <v>10</v>
      </c>
      <c r="L186">
        <v>8</v>
      </c>
      <c r="M186">
        <v>0</v>
      </c>
    </row>
    <row r="187" spans="1:13" x14ac:dyDescent="0.25">
      <c r="A187">
        <v>17</v>
      </c>
      <c r="B187" t="s">
        <v>37</v>
      </c>
      <c r="C187">
        <v>6.6</v>
      </c>
      <c r="D187" t="s">
        <v>35</v>
      </c>
      <c r="E187">
        <v>8</v>
      </c>
      <c r="F187">
        <v>2.2000000000000002</v>
      </c>
      <c r="G187">
        <v>2.21</v>
      </c>
      <c r="H187">
        <v>1</v>
      </c>
      <c r="I187" t="s">
        <v>39</v>
      </c>
      <c r="J187">
        <v>10</v>
      </c>
      <c r="K187">
        <v>8</v>
      </c>
      <c r="L187">
        <v>10</v>
      </c>
      <c r="M187">
        <v>0</v>
      </c>
    </row>
    <row r="188" spans="1:13" x14ac:dyDescent="0.25">
      <c r="A188">
        <v>15</v>
      </c>
      <c r="B188" t="s">
        <v>37</v>
      </c>
      <c r="C188">
        <v>3.5</v>
      </c>
      <c r="D188" t="s">
        <v>35</v>
      </c>
      <c r="E188">
        <v>6.3</v>
      </c>
      <c r="F188">
        <v>0.8</v>
      </c>
      <c r="G188">
        <v>2.71</v>
      </c>
      <c r="H188">
        <v>1.8</v>
      </c>
      <c r="I188" t="s">
        <v>39</v>
      </c>
      <c r="J188">
        <v>7</v>
      </c>
      <c r="K188">
        <v>4</v>
      </c>
      <c r="L188">
        <v>2</v>
      </c>
      <c r="M188">
        <v>0</v>
      </c>
    </row>
    <row r="189" spans="1:13" x14ac:dyDescent="0.25">
      <c r="A189">
        <v>17</v>
      </c>
      <c r="B189" t="s">
        <v>37</v>
      </c>
      <c r="C189">
        <v>5.4</v>
      </c>
      <c r="D189" t="s">
        <v>41</v>
      </c>
      <c r="E189">
        <v>6.3</v>
      </c>
      <c r="F189">
        <v>2.8</v>
      </c>
      <c r="G189">
        <v>3.06</v>
      </c>
      <c r="H189">
        <v>0.8</v>
      </c>
      <c r="I189" t="s">
        <v>36</v>
      </c>
      <c r="J189">
        <v>3</v>
      </c>
      <c r="K189">
        <v>7</v>
      </c>
      <c r="L189">
        <v>9</v>
      </c>
      <c r="M189">
        <v>0</v>
      </c>
    </row>
    <row r="190" spans="1:13" x14ac:dyDescent="0.25">
      <c r="A190">
        <v>16</v>
      </c>
      <c r="B190" t="s">
        <v>37</v>
      </c>
      <c r="C190">
        <v>4.2</v>
      </c>
      <c r="D190" t="s">
        <v>41</v>
      </c>
      <c r="E190">
        <v>7.3</v>
      </c>
      <c r="F190">
        <v>1.1000000000000001</v>
      </c>
      <c r="G190">
        <v>3.1</v>
      </c>
      <c r="H190">
        <v>1.6</v>
      </c>
      <c r="I190" t="s">
        <v>40</v>
      </c>
      <c r="J190">
        <v>1</v>
      </c>
      <c r="K190">
        <v>6</v>
      </c>
      <c r="L190">
        <v>2</v>
      </c>
      <c r="M190">
        <v>0</v>
      </c>
    </row>
    <row r="191" spans="1:13" x14ac:dyDescent="0.25">
      <c r="A191">
        <v>13</v>
      </c>
      <c r="B191" t="s">
        <v>34</v>
      </c>
      <c r="C191">
        <v>2.5</v>
      </c>
      <c r="D191" t="s">
        <v>35</v>
      </c>
      <c r="E191">
        <v>8.3000000000000007</v>
      </c>
      <c r="F191">
        <v>1.6</v>
      </c>
      <c r="G191">
        <v>2.91</v>
      </c>
      <c r="H191">
        <v>0.6</v>
      </c>
      <c r="I191" t="s">
        <v>39</v>
      </c>
      <c r="J191">
        <v>10</v>
      </c>
      <c r="K191">
        <v>2</v>
      </c>
      <c r="L191">
        <v>6</v>
      </c>
      <c r="M191">
        <v>0</v>
      </c>
    </row>
    <row r="192" spans="1:13" x14ac:dyDescent="0.25">
      <c r="A192">
        <v>16</v>
      </c>
      <c r="B192" t="s">
        <v>37</v>
      </c>
      <c r="C192">
        <v>3.8</v>
      </c>
      <c r="D192" t="s">
        <v>38</v>
      </c>
      <c r="E192">
        <v>6</v>
      </c>
      <c r="F192">
        <v>3</v>
      </c>
      <c r="G192">
        <v>2.1</v>
      </c>
      <c r="H192">
        <v>0.2</v>
      </c>
      <c r="I192" t="s">
        <v>36</v>
      </c>
      <c r="J192">
        <v>7</v>
      </c>
      <c r="K192">
        <v>9</v>
      </c>
      <c r="L192">
        <v>1</v>
      </c>
      <c r="M192">
        <v>0</v>
      </c>
    </row>
    <row r="193" spans="1:13" x14ac:dyDescent="0.25">
      <c r="A193">
        <v>13</v>
      </c>
      <c r="B193" t="s">
        <v>34</v>
      </c>
      <c r="C193">
        <v>1.8</v>
      </c>
      <c r="D193" t="s">
        <v>35</v>
      </c>
      <c r="E193">
        <v>8.9</v>
      </c>
      <c r="F193">
        <v>1.2</v>
      </c>
      <c r="G193">
        <v>3.67</v>
      </c>
      <c r="H193">
        <v>0.1</v>
      </c>
      <c r="I193" t="s">
        <v>40</v>
      </c>
      <c r="J193">
        <v>2</v>
      </c>
      <c r="K193">
        <v>8</v>
      </c>
      <c r="L193">
        <v>9</v>
      </c>
      <c r="M193">
        <v>0</v>
      </c>
    </row>
    <row r="194" spans="1:13" x14ac:dyDescent="0.25">
      <c r="A194">
        <v>14</v>
      </c>
      <c r="B194" t="s">
        <v>34</v>
      </c>
      <c r="C194">
        <v>5.4</v>
      </c>
      <c r="D194" t="s">
        <v>35</v>
      </c>
      <c r="E194">
        <v>5.6</v>
      </c>
      <c r="F194">
        <v>1.8</v>
      </c>
      <c r="G194">
        <v>3.01</v>
      </c>
      <c r="H194">
        <v>0.9</v>
      </c>
      <c r="I194" t="s">
        <v>36</v>
      </c>
      <c r="J194">
        <v>10</v>
      </c>
      <c r="K194">
        <v>6</v>
      </c>
      <c r="L194">
        <v>8</v>
      </c>
      <c r="M194">
        <v>0</v>
      </c>
    </row>
    <row r="195" spans="1:13" x14ac:dyDescent="0.25">
      <c r="A195">
        <v>14</v>
      </c>
      <c r="B195" t="s">
        <v>37</v>
      </c>
      <c r="C195">
        <v>7.7</v>
      </c>
      <c r="D195" t="s">
        <v>35</v>
      </c>
      <c r="E195">
        <v>6.1</v>
      </c>
      <c r="F195">
        <v>0.8</v>
      </c>
      <c r="G195">
        <v>3.47</v>
      </c>
      <c r="H195">
        <v>1.5</v>
      </c>
      <c r="I195" t="s">
        <v>40</v>
      </c>
      <c r="J195">
        <v>9</v>
      </c>
      <c r="K195">
        <v>10</v>
      </c>
      <c r="L195">
        <v>9</v>
      </c>
      <c r="M195">
        <v>0</v>
      </c>
    </row>
    <row r="196" spans="1:13" x14ac:dyDescent="0.25">
      <c r="A196">
        <v>18</v>
      </c>
      <c r="B196" t="s">
        <v>37</v>
      </c>
      <c r="C196">
        <v>4.0999999999999996</v>
      </c>
      <c r="D196" t="s">
        <v>35</v>
      </c>
      <c r="E196">
        <v>8</v>
      </c>
      <c r="F196">
        <v>1.7</v>
      </c>
      <c r="G196">
        <v>2.29</v>
      </c>
      <c r="H196">
        <v>1.4</v>
      </c>
      <c r="I196" t="s">
        <v>36</v>
      </c>
      <c r="J196">
        <v>2</v>
      </c>
      <c r="K196">
        <v>1</v>
      </c>
      <c r="L196">
        <v>10</v>
      </c>
      <c r="M196">
        <v>0</v>
      </c>
    </row>
    <row r="197" spans="1:13" x14ac:dyDescent="0.25">
      <c r="A197">
        <v>15</v>
      </c>
      <c r="B197" t="s">
        <v>37</v>
      </c>
      <c r="C197">
        <v>6.6</v>
      </c>
      <c r="D197" t="s">
        <v>41</v>
      </c>
      <c r="E197">
        <v>4.9000000000000004</v>
      </c>
      <c r="F197">
        <v>3</v>
      </c>
      <c r="G197">
        <v>2.99</v>
      </c>
      <c r="H197">
        <v>0.9</v>
      </c>
      <c r="I197" t="s">
        <v>40</v>
      </c>
      <c r="J197">
        <v>4</v>
      </c>
      <c r="K197">
        <v>8</v>
      </c>
      <c r="L197">
        <v>3</v>
      </c>
      <c r="M197">
        <v>0</v>
      </c>
    </row>
    <row r="198" spans="1:13" x14ac:dyDescent="0.25">
      <c r="A198">
        <v>16</v>
      </c>
      <c r="B198" t="s">
        <v>34</v>
      </c>
      <c r="C198">
        <v>2.2999999999999998</v>
      </c>
      <c r="D198" t="s">
        <v>41</v>
      </c>
      <c r="E198">
        <v>4.0999999999999996</v>
      </c>
      <c r="F198">
        <v>0.8</v>
      </c>
      <c r="G198">
        <v>3.18</v>
      </c>
      <c r="H198">
        <v>1.7</v>
      </c>
      <c r="I198" t="s">
        <v>40</v>
      </c>
      <c r="J198">
        <v>5</v>
      </c>
      <c r="K198">
        <v>3</v>
      </c>
      <c r="L198">
        <v>8</v>
      </c>
      <c r="M198">
        <v>0</v>
      </c>
    </row>
    <row r="199" spans="1:13" x14ac:dyDescent="0.25">
      <c r="A199">
        <v>17</v>
      </c>
      <c r="B199" t="s">
        <v>37</v>
      </c>
      <c r="C199">
        <v>7.5</v>
      </c>
      <c r="D199" t="s">
        <v>35</v>
      </c>
      <c r="E199">
        <v>5.9</v>
      </c>
      <c r="F199">
        <v>2.9</v>
      </c>
      <c r="G199">
        <v>3.71</v>
      </c>
      <c r="H199">
        <v>1.7</v>
      </c>
      <c r="I199" t="s">
        <v>36</v>
      </c>
      <c r="J199">
        <v>3</v>
      </c>
      <c r="K199">
        <v>1</v>
      </c>
      <c r="L199">
        <v>10</v>
      </c>
      <c r="M199">
        <v>0</v>
      </c>
    </row>
    <row r="200" spans="1:13" x14ac:dyDescent="0.25">
      <c r="A200">
        <v>18</v>
      </c>
      <c r="B200" t="s">
        <v>34</v>
      </c>
      <c r="C200">
        <v>7.1</v>
      </c>
      <c r="D200" t="s">
        <v>35</v>
      </c>
      <c r="E200">
        <v>8</v>
      </c>
      <c r="F200">
        <v>2.9</v>
      </c>
      <c r="G200">
        <v>2.59</v>
      </c>
      <c r="H200">
        <v>1.2</v>
      </c>
      <c r="I200" t="s">
        <v>39</v>
      </c>
      <c r="J200">
        <v>10</v>
      </c>
      <c r="K200">
        <v>8</v>
      </c>
      <c r="L200">
        <v>5</v>
      </c>
      <c r="M200">
        <v>0</v>
      </c>
    </row>
    <row r="201" spans="1:13" x14ac:dyDescent="0.25">
      <c r="A201">
        <v>17</v>
      </c>
      <c r="B201" t="s">
        <v>37</v>
      </c>
      <c r="C201">
        <v>1.7</v>
      </c>
      <c r="D201" t="s">
        <v>41</v>
      </c>
      <c r="E201">
        <v>6.3</v>
      </c>
      <c r="F201">
        <v>1.5</v>
      </c>
      <c r="G201">
        <v>2.66</v>
      </c>
      <c r="H201">
        <v>1.8</v>
      </c>
      <c r="I201" t="s">
        <v>36</v>
      </c>
      <c r="J201">
        <v>1</v>
      </c>
      <c r="K201">
        <v>4</v>
      </c>
      <c r="L201">
        <v>10</v>
      </c>
      <c r="M201">
        <v>0</v>
      </c>
    </row>
    <row r="202" spans="1:13" x14ac:dyDescent="0.25">
      <c r="A202">
        <v>13</v>
      </c>
      <c r="B202" t="s">
        <v>34</v>
      </c>
      <c r="C202">
        <v>7.9</v>
      </c>
      <c r="D202" t="s">
        <v>35</v>
      </c>
      <c r="E202">
        <v>5.8</v>
      </c>
      <c r="F202">
        <v>0.8</v>
      </c>
      <c r="G202">
        <v>3.31</v>
      </c>
      <c r="H202">
        <v>1.6</v>
      </c>
      <c r="I202" t="s">
        <v>40</v>
      </c>
      <c r="J202">
        <v>3</v>
      </c>
      <c r="K202">
        <v>7</v>
      </c>
      <c r="L202">
        <v>2</v>
      </c>
      <c r="M202">
        <v>0</v>
      </c>
    </row>
    <row r="203" spans="1:13" x14ac:dyDescent="0.25">
      <c r="A203">
        <v>16</v>
      </c>
      <c r="B203" t="s">
        <v>37</v>
      </c>
      <c r="C203">
        <v>4</v>
      </c>
      <c r="D203" t="s">
        <v>35</v>
      </c>
      <c r="E203">
        <v>7.9</v>
      </c>
      <c r="F203">
        <v>1.9</v>
      </c>
      <c r="G203">
        <v>2.56</v>
      </c>
      <c r="H203">
        <v>0.1</v>
      </c>
      <c r="I203" t="s">
        <v>39</v>
      </c>
      <c r="J203">
        <v>4</v>
      </c>
      <c r="K203">
        <v>9</v>
      </c>
      <c r="L203">
        <v>9</v>
      </c>
      <c r="M203">
        <v>0</v>
      </c>
    </row>
    <row r="204" spans="1:13" x14ac:dyDescent="0.25">
      <c r="A204">
        <v>15</v>
      </c>
      <c r="B204" t="s">
        <v>37</v>
      </c>
      <c r="C204">
        <v>1.2</v>
      </c>
      <c r="D204" t="s">
        <v>38</v>
      </c>
      <c r="E204">
        <v>8.1</v>
      </c>
      <c r="F204">
        <v>2</v>
      </c>
      <c r="G204">
        <v>3.33</v>
      </c>
      <c r="H204">
        <v>1.5</v>
      </c>
      <c r="I204" t="s">
        <v>40</v>
      </c>
      <c r="J204">
        <v>7</v>
      </c>
      <c r="K204">
        <v>3</v>
      </c>
      <c r="L204">
        <v>8</v>
      </c>
      <c r="M204">
        <v>0</v>
      </c>
    </row>
    <row r="205" spans="1:13" x14ac:dyDescent="0.25">
      <c r="A205">
        <v>19</v>
      </c>
      <c r="B205" t="s">
        <v>34</v>
      </c>
      <c r="C205">
        <v>3.5</v>
      </c>
      <c r="D205" t="s">
        <v>38</v>
      </c>
      <c r="E205">
        <v>8.4</v>
      </c>
      <c r="F205">
        <v>1.7</v>
      </c>
      <c r="G205">
        <v>2.46</v>
      </c>
      <c r="H205">
        <v>0.1</v>
      </c>
      <c r="I205" t="s">
        <v>39</v>
      </c>
      <c r="J205">
        <v>6</v>
      </c>
      <c r="K205">
        <v>9</v>
      </c>
      <c r="L205">
        <v>3</v>
      </c>
      <c r="M205">
        <v>0</v>
      </c>
    </row>
    <row r="206" spans="1:13" x14ac:dyDescent="0.25">
      <c r="A206">
        <v>17</v>
      </c>
      <c r="B206" t="s">
        <v>34</v>
      </c>
      <c r="C206">
        <v>1.1000000000000001</v>
      </c>
      <c r="D206" t="s">
        <v>35</v>
      </c>
      <c r="E206">
        <v>6.8</v>
      </c>
      <c r="F206">
        <v>2</v>
      </c>
      <c r="G206">
        <v>3.45</v>
      </c>
      <c r="H206">
        <v>1.3</v>
      </c>
      <c r="I206" t="s">
        <v>40</v>
      </c>
      <c r="J206">
        <v>7</v>
      </c>
      <c r="K206">
        <v>1</v>
      </c>
      <c r="L206">
        <v>2</v>
      </c>
      <c r="M206">
        <v>0</v>
      </c>
    </row>
    <row r="207" spans="1:13" x14ac:dyDescent="0.25">
      <c r="A207">
        <v>19</v>
      </c>
      <c r="B207" t="s">
        <v>37</v>
      </c>
      <c r="C207">
        <v>1.6</v>
      </c>
      <c r="D207" t="s">
        <v>38</v>
      </c>
      <c r="E207">
        <v>4.0999999999999996</v>
      </c>
      <c r="F207">
        <v>1.6</v>
      </c>
      <c r="G207">
        <v>3.15</v>
      </c>
      <c r="H207">
        <v>0.9</v>
      </c>
      <c r="I207" t="s">
        <v>40</v>
      </c>
      <c r="J207">
        <v>2</v>
      </c>
      <c r="K207">
        <v>6</v>
      </c>
      <c r="L207">
        <v>4</v>
      </c>
      <c r="M207">
        <v>0</v>
      </c>
    </row>
    <row r="208" spans="1:13" x14ac:dyDescent="0.25">
      <c r="A208">
        <v>16</v>
      </c>
      <c r="B208" t="s">
        <v>37</v>
      </c>
      <c r="C208">
        <v>2.5</v>
      </c>
      <c r="D208" t="s">
        <v>38</v>
      </c>
      <c r="E208">
        <v>8.9</v>
      </c>
      <c r="F208">
        <v>2.9</v>
      </c>
      <c r="G208">
        <v>2.5299999999999998</v>
      </c>
      <c r="H208">
        <v>0.1</v>
      </c>
      <c r="I208" t="s">
        <v>39</v>
      </c>
      <c r="J208">
        <v>8</v>
      </c>
      <c r="K208">
        <v>7</v>
      </c>
      <c r="L208">
        <v>3</v>
      </c>
      <c r="M208">
        <v>0</v>
      </c>
    </row>
    <row r="209" spans="1:13" x14ac:dyDescent="0.25">
      <c r="A209">
        <v>15</v>
      </c>
      <c r="B209" t="s">
        <v>34</v>
      </c>
      <c r="C209">
        <v>2.8</v>
      </c>
      <c r="D209" t="s">
        <v>35</v>
      </c>
      <c r="E209">
        <v>7.2</v>
      </c>
      <c r="F209">
        <v>1.8</v>
      </c>
      <c r="G209">
        <v>2.91</v>
      </c>
      <c r="H209">
        <v>0.2</v>
      </c>
      <c r="I209" t="s">
        <v>36</v>
      </c>
      <c r="J209">
        <v>5</v>
      </c>
      <c r="K209">
        <v>5</v>
      </c>
      <c r="L209">
        <v>4</v>
      </c>
      <c r="M209">
        <v>0</v>
      </c>
    </row>
    <row r="210" spans="1:13" x14ac:dyDescent="0.25">
      <c r="A210">
        <v>15</v>
      </c>
      <c r="B210" t="s">
        <v>34</v>
      </c>
      <c r="C210">
        <v>2.2000000000000002</v>
      </c>
      <c r="D210" t="s">
        <v>35</v>
      </c>
      <c r="E210">
        <v>5.2</v>
      </c>
      <c r="F210">
        <v>1.4</v>
      </c>
      <c r="G210">
        <v>2.62</v>
      </c>
      <c r="H210">
        <v>1.5</v>
      </c>
      <c r="I210" t="s">
        <v>40</v>
      </c>
      <c r="J210">
        <v>10</v>
      </c>
      <c r="K210">
        <v>7</v>
      </c>
      <c r="L210">
        <v>5</v>
      </c>
      <c r="M210">
        <v>0</v>
      </c>
    </row>
    <row r="211" spans="1:13" x14ac:dyDescent="0.25">
      <c r="A211">
        <v>16</v>
      </c>
      <c r="B211" t="s">
        <v>34</v>
      </c>
      <c r="C211">
        <v>4.8</v>
      </c>
      <c r="D211" t="s">
        <v>41</v>
      </c>
      <c r="E211">
        <v>6.8</v>
      </c>
      <c r="F211">
        <v>1</v>
      </c>
      <c r="G211">
        <v>2.6</v>
      </c>
      <c r="H211">
        <v>1.1000000000000001</v>
      </c>
      <c r="I211" t="s">
        <v>40</v>
      </c>
      <c r="J211">
        <v>1</v>
      </c>
      <c r="K211">
        <v>5</v>
      </c>
      <c r="L211">
        <v>6</v>
      </c>
      <c r="M211">
        <v>0</v>
      </c>
    </row>
    <row r="212" spans="1:13" x14ac:dyDescent="0.25">
      <c r="A212">
        <v>18</v>
      </c>
      <c r="B212" t="s">
        <v>37</v>
      </c>
      <c r="C212">
        <v>3.7</v>
      </c>
      <c r="D212" t="s">
        <v>41</v>
      </c>
      <c r="E212">
        <v>7.9</v>
      </c>
      <c r="F212">
        <v>2.7</v>
      </c>
      <c r="G212">
        <v>3.11</v>
      </c>
      <c r="H212">
        <v>0.3</v>
      </c>
      <c r="I212" t="s">
        <v>40</v>
      </c>
      <c r="J212">
        <v>6</v>
      </c>
      <c r="K212">
        <v>6</v>
      </c>
      <c r="L212">
        <v>5</v>
      </c>
      <c r="M212">
        <v>0</v>
      </c>
    </row>
    <row r="213" spans="1:13" x14ac:dyDescent="0.25">
      <c r="A213">
        <v>16</v>
      </c>
      <c r="B213" t="s">
        <v>34</v>
      </c>
      <c r="C213">
        <v>5.5</v>
      </c>
      <c r="D213" t="s">
        <v>35</v>
      </c>
      <c r="E213">
        <v>8.3000000000000007</v>
      </c>
      <c r="F213">
        <v>2.2999999999999998</v>
      </c>
      <c r="G213">
        <v>3.47</v>
      </c>
      <c r="H213">
        <v>1.6</v>
      </c>
      <c r="I213" t="s">
        <v>40</v>
      </c>
      <c r="J213">
        <v>4</v>
      </c>
      <c r="K213">
        <v>8</v>
      </c>
      <c r="L213">
        <v>5</v>
      </c>
      <c r="M213">
        <v>0</v>
      </c>
    </row>
    <row r="214" spans="1:13" x14ac:dyDescent="0.25">
      <c r="A214">
        <v>16</v>
      </c>
      <c r="B214" t="s">
        <v>34</v>
      </c>
      <c r="C214">
        <v>2.5</v>
      </c>
      <c r="D214" t="s">
        <v>35</v>
      </c>
      <c r="E214">
        <v>6.8</v>
      </c>
      <c r="F214">
        <v>1</v>
      </c>
      <c r="G214">
        <v>3.77</v>
      </c>
      <c r="H214">
        <v>1</v>
      </c>
      <c r="I214" t="s">
        <v>39</v>
      </c>
      <c r="J214">
        <v>3</v>
      </c>
      <c r="K214">
        <v>9</v>
      </c>
      <c r="L214">
        <v>9</v>
      </c>
      <c r="M214">
        <v>0</v>
      </c>
    </row>
    <row r="215" spans="1:13" x14ac:dyDescent="0.25">
      <c r="A215">
        <v>18</v>
      </c>
      <c r="B215" t="s">
        <v>37</v>
      </c>
      <c r="C215">
        <v>1.9</v>
      </c>
      <c r="D215" t="s">
        <v>38</v>
      </c>
      <c r="E215">
        <v>5.8</v>
      </c>
      <c r="F215">
        <v>1.7</v>
      </c>
      <c r="G215">
        <v>3.52</v>
      </c>
      <c r="H215">
        <v>0.2</v>
      </c>
      <c r="I215" t="s">
        <v>36</v>
      </c>
      <c r="J215">
        <v>6</v>
      </c>
      <c r="K215">
        <v>5</v>
      </c>
      <c r="L215">
        <v>1</v>
      </c>
      <c r="M215">
        <v>0</v>
      </c>
    </row>
    <row r="216" spans="1:13" x14ac:dyDescent="0.25">
      <c r="A216">
        <v>13</v>
      </c>
      <c r="B216" t="s">
        <v>34</v>
      </c>
      <c r="C216">
        <v>5.9</v>
      </c>
      <c r="D216" t="s">
        <v>35</v>
      </c>
      <c r="E216">
        <v>7.5</v>
      </c>
      <c r="F216">
        <v>1.4</v>
      </c>
      <c r="G216">
        <v>2.58</v>
      </c>
      <c r="H216">
        <v>1.2</v>
      </c>
      <c r="I216" t="s">
        <v>36</v>
      </c>
      <c r="J216">
        <v>6</v>
      </c>
      <c r="K216">
        <v>2</v>
      </c>
      <c r="L216">
        <v>8</v>
      </c>
      <c r="M216">
        <v>0</v>
      </c>
    </row>
    <row r="217" spans="1:13" x14ac:dyDescent="0.25">
      <c r="A217">
        <v>13</v>
      </c>
      <c r="B217" t="s">
        <v>37</v>
      </c>
      <c r="C217">
        <v>6.5</v>
      </c>
      <c r="D217" t="s">
        <v>38</v>
      </c>
      <c r="E217">
        <v>8.3000000000000007</v>
      </c>
      <c r="F217">
        <v>0.6</v>
      </c>
      <c r="G217">
        <v>3.05</v>
      </c>
      <c r="H217">
        <v>0.3</v>
      </c>
      <c r="I217" t="s">
        <v>39</v>
      </c>
      <c r="J217">
        <v>2</v>
      </c>
      <c r="K217">
        <v>7</v>
      </c>
      <c r="L217">
        <v>8</v>
      </c>
      <c r="M217">
        <v>0</v>
      </c>
    </row>
    <row r="218" spans="1:13" x14ac:dyDescent="0.25">
      <c r="A218">
        <v>15</v>
      </c>
      <c r="B218" t="s">
        <v>34</v>
      </c>
      <c r="C218">
        <v>7.5</v>
      </c>
      <c r="D218" t="s">
        <v>35</v>
      </c>
      <c r="E218">
        <v>8.1</v>
      </c>
      <c r="F218">
        <v>2.5</v>
      </c>
      <c r="G218">
        <v>3.56</v>
      </c>
      <c r="H218">
        <v>1.2</v>
      </c>
      <c r="I218" t="s">
        <v>40</v>
      </c>
      <c r="J218">
        <v>6</v>
      </c>
      <c r="K218">
        <v>8</v>
      </c>
      <c r="L218">
        <v>10</v>
      </c>
      <c r="M218">
        <v>0</v>
      </c>
    </row>
    <row r="219" spans="1:13" x14ac:dyDescent="0.25">
      <c r="A219">
        <v>19</v>
      </c>
      <c r="B219" t="s">
        <v>34</v>
      </c>
      <c r="C219">
        <v>4.9000000000000004</v>
      </c>
      <c r="D219" t="s">
        <v>38</v>
      </c>
      <c r="E219">
        <v>4.5</v>
      </c>
      <c r="F219">
        <v>2.9</v>
      </c>
      <c r="G219">
        <v>3.88</v>
      </c>
      <c r="H219">
        <v>0.8</v>
      </c>
      <c r="I219" t="s">
        <v>36</v>
      </c>
      <c r="J219">
        <v>5</v>
      </c>
      <c r="K219">
        <v>5</v>
      </c>
      <c r="L219">
        <v>6</v>
      </c>
      <c r="M219">
        <v>0</v>
      </c>
    </row>
    <row r="220" spans="1:13" x14ac:dyDescent="0.25">
      <c r="A220">
        <v>13</v>
      </c>
      <c r="B220" t="s">
        <v>34</v>
      </c>
      <c r="C220">
        <v>2.2000000000000002</v>
      </c>
      <c r="D220" t="s">
        <v>38</v>
      </c>
      <c r="E220">
        <v>5.3</v>
      </c>
      <c r="F220">
        <v>1.4</v>
      </c>
      <c r="G220">
        <v>3.97</v>
      </c>
      <c r="H220">
        <v>0</v>
      </c>
      <c r="I220" t="s">
        <v>36</v>
      </c>
      <c r="J220">
        <v>1</v>
      </c>
      <c r="K220">
        <v>10</v>
      </c>
      <c r="L220">
        <v>7</v>
      </c>
      <c r="M220">
        <v>0</v>
      </c>
    </row>
    <row r="221" spans="1:13" x14ac:dyDescent="0.25">
      <c r="A221">
        <v>14</v>
      </c>
      <c r="B221" t="s">
        <v>34</v>
      </c>
      <c r="C221">
        <v>5.8</v>
      </c>
      <c r="D221" t="s">
        <v>41</v>
      </c>
      <c r="E221">
        <v>6.9</v>
      </c>
      <c r="F221">
        <v>0.7</v>
      </c>
      <c r="G221">
        <v>3.01</v>
      </c>
      <c r="H221">
        <v>1.9</v>
      </c>
      <c r="I221" t="s">
        <v>39</v>
      </c>
      <c r="J221">
        <v>9</v>
      </c>
      <c r="K221">
        <v>9</v>
      </c>
      <c r="L221">
        <v>4</v>
      </c>
      <c r="M221">
        <v>0</v>
      </c>
    </row>
    <row r="222" spans="1:13" x14ac:dyDescent="0.25">
      <c r="A222">
        <v>14</v>
      </c>
      <c r="B222" t="s">
        <v>34</v>
      </c>
      <c r="C222">
        <v>1.3</v>
      </c>
      <c r="D222" t="s">
        <v>35</v>
      </c>
      <c r="E222">
        <v>8.5</v>
      </c>
      <c r="F222">
        <v>0.9</v>
      </c>
      <c r="G222">
        <v>3.71</v>
      </c>
      <c r="H222">
        <v>0.7</v>
      </c>
      <c r="I222" t="s">
        <v>39</v>
      </c>
      <c r="J222">
        <v>3</v>
      </c>
      <c r="K222">
        <v>3</v>
      </c>
      <c r="L222">
        <v>6</v>
      </c>
      <c r="M222">
        <v>0</v>
      </c>
    </row>
    <row r="223" spans="1:13" x14ac:dyDescent="0.25">
      <c r="A223">
        <v>19</v>
      </c>
      <c r="B223" t="s">
        <v>37</v>
      </c>
      <c r="C223">
        <v>2.8</v>
      </c>
      <c r="D223" t="s">
        <v>38</v>
      </c>
      <c r="E223">
        <v>4.8</v>
      </c>
      <c r="F223">
        <v>1.7</v>
      </c>
      <c r="G223">
        <v>2.8</v>
      </c>
      <c r="H223">
        <v>0.6</v>
      </c>
      <c r="I223" t="s">
        <v>36</v>
      </c>
      <c r="J223">
        <v>5</v>
      </c>
      <c r="K223">
        <v>7</v>
      </c>
      <c r="L223">
        <v>4</v>
      </c>
      <c r="M223">
        <v>0</v>
      </c>
    </row>
    <row r="224" spans="1:13" x14ac:dyDescent="0.25">
      <c r="A224">
        <v>19</v>
      </c>
      <c r="B224" t="s">
        <v>37</v>
      </c>
      <c r="C224">
        <v>4</v>
      </c>
      <c r="D224" t="s">
        <v>38</v>
      </c>
      <c r="E224">
        <v>6.5</v>
      </c>
      <c r="F224">
        <v>2.4</v>
      </c>
      <c r="G224">
        <v>3.67</v>
      </c>
      <c r="H224">
        <v>0.6</v>
      </c>
      <c r="I224" t="s">
        <v>36</v>
      </c>
      <c r="J224">
        <v>4</v>
      </c>
      <c r="K224">
        <v>6</v>
      </c>
      <c r="L224">
        <v>4</v>
      </c>
      <c r="M224">
        <v>0</v>
      </c>
    </row>
    <row r="225" spans="1:13" x14ac:dyDescent="0.25">
      <c r="A225">
        <v>14</v>
      </c>
      <c r="B225" t="s">
        <v>37</v>
      </c>
      <c r="C225">
        <v>1.7</v>
      </c>
      <c r="D225" t="s">
        <v>38</v>
      </c>
      <c r="E225">
        <v>4.9000000000000004</v>
      </c>
      <c r="F225">
        <v>1.6</v>
      </c>
      <c r="G225">
        <v>2.36</v>
      </c>
      <c r="H225">
        <v>1.7</v>
      </c>
      <c r="I225" t="s">
        <v>39</v>
      </c>
      <c r="J225">
        <v>3</v>
      </c>
      <c r="K225">
        <v>1</v>
      </c>
      <c r="L225">
        <v>6</v>
      </c>
      <c r="M225">
        <v>0</v>
      </c>
    </row>
    <row r="226" spans="1:13" x14ac:dyDescent="0.25">
      <c r="A226">
        <v>18</v>
      </c>
      <c r="B226" t="s">
        <v>37</v>
      </c>
      <c r="C226">
        <v>1.4</v>
      </c>
      <c r="D226" t="s">
        <v>38</v>
      </c>
      <c r="E226">
        <v>6.1</v>
      </c>
      <c r="F226">
        <v>1.6</v>
      </c>
      <c r="G226">
        <v>2.56</v>
      </c>
      <c r="H226">
        <v>1.2</v>
      </c>
      <c r="I226" t="s">
        <v>39</v>
      </c>
      <c r="J226">
        <v>2</v>
      </c>
      <c r="K226">
        <v>7</v>
      </c>
      <c r="L226">
        <v>8</v>
      </c>
      <c r="M226">
        <v>0</v>
      </c>
    </row>
    <row r="227" spans="1:13" x14ac:dyDescent="0.25">
      <c r="A227">
        <v>19</v>
      </c>
      <c r="B227" t="s">
        <v>34</v>
      </c>
      <c r="C227">
        <v>2.2999999999999998</v>
      </c>
      <c r="D227" t="s">
        <v>38</v>
      </c>
      <c r="E227">
        <v>6.5</v>
      </c>
      <c r="F227">
        <v>3</v>
      </c>
      <c r="G227">
        <v>3.5</v>
      </c>
      <c r="H227">
        <v>0.1</v>
      </c>
      <c r="I227" t="s">
        <v>39</v>
      </c>
      <c r="J227">
        <v>9</v>
      </c>
      <c r="K227">
        <v>10</v>
      </c>
      <c r="L227">
        <v>8</v>
      </c>
      <c r="M227">
        <v>0</v>
      </c>
    </row>
    <row r="228" spans="1:13" x14ac:dyDescent="0.25">
      <c r="A228">
        <v>14</v>
      </c>
      <c r="B228" t="s">
        <v>34</v>
      </c>
      <c r="C228">
        <v>3.8</v>
      </c>
      <c r="D228" t="s">
        <v>35</v>
      </c>
      <c r="E228">
        <v>5.3</v>
      </c>
      <c r="F228">
        <v>1</v>
      </c>
      <c r="G228">
        <v>2.2799999999999998</v>
      </c>
      <c r="H228">
        <v>1.2</v>
      </c>
      <c r="I228" t="s">
        <v>36</v>
      </c>
      <c r="J228">
        <v>9</v>
      </c>
      <c r="K228">
        <v>3</v>
      </c>
      <c r="L228">
        <v>1</v>
      </c>
      <c r="M228">
        <v>0</v>
      </c>
    </row>
    <row r="229" spans="1:13" x14ac:dyDescent="0.25">
      <c r="A229">
        <v>13</v>
      </c>
      <c r="B229" t="s">
        <v>34</v>
      </c>
      <c r="C229">
        <v>6.4</v>
      </c>
      <c r="D229" t="s">
        <v>38</v>
      </c>
      <c r="E229">
        <v>5.0999999999999996</v>
      </c>
      <c r="F229">
        <v>2.5</v>
      </c>
      <c r="G229">
        <v>2.62</v>
      </c>
      <c r="H229">
        <v>1.3</v>
      </c>
      <c r="I229" t="s">
        <v>36</v>
      </c>
      <c r="J229">
        <v>5</v>
      </c>
      <c r="K229">
        <v>4</v>
      </c>
      <c r="L229">
        <v>7</v>
      </c>
      <c r="M229">
        <v>0</v>
      </c>
    </row>
    <row r="230" spans="1:13" x14ac:dyDescent="0.25">
      <c r="A230">
        <v>19</v>
      </c>
      <c r="B230" t="s">
        <v>34</v>
      </c>
      <c r="C230">
        <v>6</v>
      </c>
      <c r="D230" t="s">
        <v>41</v>
      </c>
      <c r="E230">
        <v>7.1</v>
      </c>
      <c r="F230">
        <v>0.9</v>
      </c>
      <c r="G230">
        <v>2.98</v>
      </c>
      <c r="H230">
        <v>0.1</v>
      </c>
      <c r="I230" t="s">
        <v>36</v>
      </c>
      <c r="J230">
        <v>1</v>
      </c>
      <c r="K230">
        <v>6</v>
      </c>
      <c r="L230">
        <v>5</v>
      </c>
      <c r="M230">
        <v>0</v>
      </c>
    </row>
    <row r="231" spans="1:13" x14ac:dyDescent="0.25">
      <c r="A231">
        <v>16</v>
      </c>
      <c r="B231" t="s">
        <v>34</v>
      </c>
      <c r="C231">
        <v>1.9</v>
      </c>
      <c r="D231" t="s">
        <v>35</v>
      </c>
      <c r="E231">
        <v>7.8</v>
      </c>
      <c r="F231">
        <v>2.1</v>
      </c>
      <c r="G231">
        <v>2.2599999999999998</v>
      </c>
      <c r="H231">
        <v>0.3</v>
      </c>
      <c r="I231" t="s">
        <v>39</v>
      </c>
      <c r="J231">
        <v>7</v>
      </c>
      <c r="K231">
        <v>7</v>
      </c>
      <c r="L231">
        <v>5</v>
      </c>
      <c r="M231">
        <v>0</v>
      </c>
    </row>
    <row r="232" spans="1:13" x14ac:dyDescent="0.25">
      <c r="A232">
        <v>17</v>
      </c>
      <c r="B232" t="s">
        <v>34</v>
      </c>
      <c r="C232">
        <v>2.4</v>
      </c>
      <c r="D232" t="s">
        <v>38</v>
      </c>
      <c r="E232">
        <v>8.5</v>
      </c>
      <c r="F232">
        <v>2.4</v>
      </c>
      <c r="G232">
        <v>2.79</v>
      </c>
      <c r="H232">
        <v>1.1000000000000001</v>
      </c>
      <c r="I232" t="s">
        <v>36</v>
      </c>
      <c r="J232">
        <v>1</v>
      </c>
      <c r="K232">
        <v>6</v>
      </c>
      <c r="L232">
        <v>7</v>
      </c>
      <c r="M232">
        <v>0</v>
      </c>
    </row>
    <row r="233" spans="1:13" x14ac:dyDescent="0.25">
      <c r="A233">
        <v>14</v>
      </c>
      <c r="B233" t="s">
        <v>37</v>
      </c>
      <c r="C233">
        <v>2.7</v>
      </c>
      <c r="D233" t="s">
        <v>35</v>
      </c>
      <c r="E233">
        <v>5.0999999999999996</v>
      </c>
      <c r="F233">
        <v>2.4</v>
      </c>
      <c r="G233">
        <v>2.17</v>
      </c>
      <c r="H233">
        <v>1.8</v>
      </c>
      <c r="I233" t="s">
        <v>39</v>
      </c>
      <c r="J233">
        <v>3</v>
      </c>
      <c r="K233">
        <v>10</v>
      </c>
      <c r="L233">
        <v>8</v>
      </c>
      <c r="M233">
        <v>0</v>
      </c>
    </row>
    <row r="234" spans="1:13" x14ac:dyDescent="0.25">
      <c r="A234">
        <v>14</v>
      </c>
      <c r="B234" t="s">
        <v>34</v>
      </c>
      <c r="C234">
        <v>1.5</v>
      </c>
      <c r="D234" t="s">
        <v>41</v>
      </c>
      <c r="E234">
        <v>7.2</v>
      </c>
      <c r="F234">
        <v>1.7</v>
      </c>
      <c r="G234">
        <v>2.76</v>
      </c>
      <c r="H234">
        <v>0</v>
      </c>
      <c r="I234" t="s">
        <v>36</v>
      </c>
      <c r="J234">
        <v>10</v>
      </c>
      <c r="K234">
        <v>7</v>
      </c>
      <c r="L234">
        <v>10</v>
      </c>
      <c r="M234">
        <v>0</v>
      </c>
    </row>
    <row r="235" spans="1:13" x14ac:dyDescent="0.25">
      <c r="A235">
        <v>18</v>
      </c>
      <c r="B235" t="s">
        <v>34</v>
      </c>
      <c r="C235">
        <v>7.7</v>
      </c>
      <c r="D235" t="s">
        <v>35</v>
      </c>
      <c r="E235">
        <v>7.3</v>
      </c>
      <c r="F235">
        <v>1.8</v>
      </c>
      <c r="G235">
        <v>3.13</v>
      </c>
      <c r="H235">
        <v>2</v>
      </c>
      <c r="I235" t="s">
        <v>40</v>
      </c>
      <c r="J235">
        <v>7</v>
      </c>
      <c r="K235">
        <v>9</v>
      </c>
      <c r="L235">
        <v>7</v>
      </c>
      <c r="M235">
        <v>0</v>
      </c>
    </row>
    <row r="236" spans="1:13" x14ac:dyDescent="0.25">
      <c r="A236">
        <v>13</v>
      </c>
      <c r="B236" t="s">
        <v>34</v>
      </c>
      <c r="C236">
        <v>2.9</v>
      </c>
      <c r="D236" t="s">
        <v>38</v>
      </c>
      <c r="E236">
        <v>5.0999999999999996</v>
      </c>
      <c r="F236">
        <v>2.2000000000000002</v>
      </c>
      <c r="G236">
        <v>3.81</v>
      </c>
      <c r="H236">
        <v>0.7</v>
      </c>
      <c r="I236" t="s">
        <v>36</v>
      </c>
      <c r="J236">
        <v>6</v>
      </c>
      <c r="K236">
        <v>6</v>
      </c>
      <c r="L236">
        <v>10</v>
      </c>
      <c r="M236">
        <v>0</v>
      </c>
    </row>
    <row r="237" spans="1:13" x14ac:dyDescent="0.25">
      <c r="A237">
        <v>16</v>
      </c>
      <c r="B237" t="s">
        <v>34</v>
      </c>
      <c r="C237">
        <v>7.6</v>
      </c>
      <c r="D237" t="s">
        <v>38</v>
      </c>
      <c r="E237">
        <v>4.3</v>
      </c>
      <c r="F237">
        <v>2.7</v>
      </c>
      <c r="G237">
        <v>2.5099999999999998</v>
      </c>
      <c r="H237">
        <v>0.3</v>
      </c>
      <c r="I237" t="s">
        <v>40</v>
      </c>
      <c r="J237">
        <v>3</v>
      </c>
      <c r="K237">
        <v>9</v>
      </c>
      <c r="L237">
        <v>10</v>
      </c>
      <c r="M237">
        <v>0</v>
      </c>
    </row>
    <row r="238" spans="1:13" x14ac:dyDescent="0.25">
      <c r="A238">
        <v>18</v>
      </c>
      <c r="B238" t="s">
        <v>34</v>
      </c>
      <c r="C238">
        <v>5.7</v>
      </c>
      <c r="D238" t="s">
        <v>41</v>
      </c>
      <c r="E238">
        <v>8.4</v>
      </c>
      <c r="F238">
        <v>2.4</v>
      </c>
      <c r="G238">
        <v>2.84</v>
      </c>
      <c r="H238">
        <v>0.7</v>
      </c>
      <c r="I238" t="s">
        <v>36</v>
      </c>
      <c r="J238">
        <v>5</v>
      </c>
      <c r="K238">
        <v>4</v>
      </c>
      <c r="L238">
        <v>9</v>
      </c>
      <c r="M238">
        <v>0</v>
      </c>
    </row>
    <row r="239" spans="1:13" x14ac:dyDescent="0.25">
      <c r="A239">
        <v>19</v>
      </c>
      <c r="B239" t="s">
        <v>34</v>
      </c>
      <c r="C239">
        <v>1.2</v>
      </c>
      <c r="D239" t="s">
        <v>38</v>
      </c>
      <c r="E239">
        <v>5</v>
      </c>
      <c r="F239">
        <v>1.5</v>
      </c>
      <c r="G239">
        <v>2.09</v>
      </c>
      <c r="H239">
        <v>0.6</v>
      </c>
      <c r="I239" t="s">
        <v>40</v>
      </c>
      <c r="J239">
        <v>5</v>
      </c>
      <c r="K239">
        <v>2</v>
      </c>
      <c r="L239">
        <v>1</v>
      </c>
      <c r="M239">
        <v>0</v>
      </c>
    </row>
    <row r="240" spans="1:13" x14ac:dyDescent="0.25">
      <c r="A240">
        <v>16</v>
      </c>
      <c r="B240" t="s">
        <v>37</v>
      </c>
      <c r="C240">
        <v>2.4</v>
      </c>
      <c r="D240" t="s">
        <v>41</v>
      </c>
      <c r="E240">
        <v>6.2</v>
      </c>
      <c r="F240">
        <v>1.6</v>
      </c>
      <c r="G240">
        <v>2.38</v>
      </c>
      <c r="H240">
        <v>0</v>
      </c>
      <c r="I240" t="s">
        <v>40</v>
      </c>
      <c r="J240">
        <v>8</v>
      </c>
      <c r="K240">
        <v>4</v>
      </c>
      <c r="L240">
        <v>10</v>
      </c>
      <c r="M240">
        <v>0</v>
      </c>
    </row>
    <row r="241" spans="1:13" x14ac:dyDescent="0.25">
      <c r="A241">
        <v>17</v>
      </c>
      <c r="B241" t="s">
        <v>37</v>
      </c>
      <c r="C241">
        <v>6.2</v>
      </c>
      <c r="D241" t="s">
        <v>41</v>
      </c>
      <c r="E241">
        <v>5.0999999999999996</v>
      </c>
      <c r="F241">
        <v>2</v>
      </c>
      <c r="G241">
        <v>3.82</v>
      </c>
      <c r="H241">
        <v>1.7</v>
      </c>
      <c r="I241" t="s">
        <v>40</v>
      </c>
      <c r="J241">
        <v>7</v>
      </c>
      <c r="K241">
        <v>3</v>
      </c>
      <c r="L241">
        <v>5</v>
      </c>
      <c r="M241">
        <v>0</v>
      </c>
    </row>
    <row r="242" spans="1:13" x14ac:dyDescent="0.25">
      <c r="A242">
        <v>14</v>
      </c>
      <c r="B242" t="s">
        <v>37</v>
      </c>
      <c r="C242">
        <v>4.7</v>
      </c>
      <c r="D242" t="s">
        <v>35</v>
      </c>
      <c r="E242">
        <v>5.0999999999999996</v>
      </c>
      <c r="F242">
        <v>2.2000000000000002</v>
      </c>
      <c r="G242">
        <v>2.0299999999999998</v>
      </c>
      <c r="H242">
        <v>1.1000000000000001</v>
      </c>
      <c r="I242" t="s">
        <v>40</v>
      </c>
      <c r="J242">
        <v>2</v>
      </c>
      <c r="K242">
        <v>10</v>
      </c>
      <c r="L242">
        <v>7</v>
      </c>
      <c r="M242">
        <v>0</v>
      </c>
    </row>
    <row r="243" spans="1:13" x14ac:dyDescent="0.25">
      <c r="A243">
        <v>19</v>
      </c>
      <c r="B243" t="s">
        <v>34</v>
      </c>
      <c r="C243">
        <v>5.3</v>
      </c>
      <c r="D243" t="s">
        <v>35</v>
      </c>
      <c r="E243">
        <v>6.7</v>
      </c>
      <c r="F243">
        <v>0.7</v>
      </c>
      <c r="G243">
        <v>3.59</v>
      </c>
      <c r="H243">
        <v>1.8</v>
      </c>
      <c r="I243" t="s">
        <v>39</v>
      </c>
      <c r="J243">
        <v>4</v>
      </c>
      <c r="K243">
        <v>8</v>
      </c>
      <c r="L243">
        <v>8</v>
      </c>
      <c r="M243">
        <v>0</v>
      </c>
    </row>
    <row r="244" spans="1:13" x14ac:dyDescent="0.25">
      <c r="A244">
        <v>19</v>
      </c>
      <c r="B244" t="s">
        <v>37</v>
      </c>
      <c r="C244">
        <v>6</v>
      </c>
      <c r="D244" t="s">
        <v>38</v>
      </c>
      <c r="E244">
        <v>6</v>
      </c>
      <c r="F244">
        <v>0.7</v>
      </c>
      <c r="G244">
        <v>3.29</v>
      </c>
      <c r="H244">
        <v>1.4</v>
      </c>
      <c r="I244" t="s">
        <v>36</v>
      </c>
      <c r="J244">
        <v>4</v>
      </c>
      <c r="K244">
        <v>5</v>
      </c>
      <c r="L244">
        <v>1</v>
      </c>
      <c r="M244">
        <v>0</v>
      </c>
    </row>
    <row r="245" spans="1:13" x14ac:dyDescent="0.25">
      <c r="A245">
        <v>16</v>
      </c>
      <c r="B245" t="s">
        <v>37</v>
      </c>
      <c r="C245">
        <v>7.8</v>
      </c>
      <c r="D245" t="s">
        <v>38</v>
      </c>
      <c r="E245">
        <v>4.7</v>
      </c>
      <c r="F245">
        <v>2.1</v>
      </c>
      <c r="G245">
        <v>2.48</v>
      </c>
      <c r="H245">
        <v>2</v>
      </c>
      <c r="I245" t="s">
        <v>36</v>
      </c>
      <c r="J245">
        <v>8</v>
      </c>
      <c r="K245">
        <v>3</v>
      </c>
      <c r="L245">
        <v>1</v>
      </c>
      <c r="M245">
        <v>0</v>
      </c>
    </row>
    <row r="246" spans="1:13" x14ac:dyDescent="0.25">
      <c r="A246">
        <v>14</v>
      </c>
      <c r="B246" t="s">
        <v>37</v>
      </c>
      <c r="C246">
        <v>4.4000000000000004</v>
      </c>
      <c r="D246" t="s">
        <v>41</v>
      </c>
      <c r="E246">
        <v>4.2</v>
      </c>
      <c r="F246">
        <v>2.6</v>
      </c>
      <c r="G246">
        <v>2.2799999999999998</v>
      </c>
      <c r="H246">
        <v>1.3</v>
      </c>
      <c r="I246" t="s">
        <v>40</v>
      </c>
      <c r="J246">
        <v>8</v>
      </c>
      <c r="K246">
        <v>10</v>
      </c>
      <c r="L246">
        <v>4</v>
      </c>
      <c r="M246">
        <v>0</v>
      </c>
    </row>
    <row r="247" spans="1:13" x14ac:dyDescent="0.25">
      <c r="A247">
        <v>17</v>
      </c>
      <c r="B247" t="s">
        <v>34</v>
      </c>
      <c r="C247">
        <v>6.7</v>
      </c>
      <c r="D247" t="s">
        <v>35</v>
      </c>
      <c r="E247">
        <v>7.6</v>
      </c>
      <c r="F247">
        <v>2.4</v>
      </c>
      <c r="G247">
        <v>3.59</v>
      </c>
      <c r="H247">
        <v>0.4</v>
      </c>
      <c r="I247" t="s">
        <v>40</v>
      </c>
      <c r="J247">
        <v>9</v>
      </c>
      <c r="K247">
        <v>5</v>
      </c>
      <c r="L247">
        <v>5</v>
      </c>
      <c r="M247">
        <v>0</v>
      </c>
    </row>
    <row r="248" spans="1:13" x14ac:dyDescent="0.25">
      <c r="A248">
        <v>13</v>
      </c>
      <c r="B248" t="s">
        <v>37</v>
      </c>
      <c r="C248">
        <v>7.2</v>
      </c>
      <c r="D248" t="s">
        <v>38</v>
      </c>
      <c r="E248">
        <v>7.4</v>
      </c>
      <c r="F248">
        <v>2.2000000000000002</v>
      </c>
      <c r="G248">
        <v>3.42</v>
      </c>
      <c r="H248">
        <v>0.1</v>
      </c>
      <c r="I248" t="s">
        <v>36</v>
      </c>
      <c r="J248">
        <v>8</v>
      </c>
      <c r="K248">
        <v>9</v>
      </c>
      <c r="L248">
        <v>6</v>
      </c>
      <c r="M248">
        <v>0</v>
      </c>
    </row>
    <row r="249" spans="1:13" x14ac:dyDescent="0.25">
      <c r="A249">
        <v>18</v>
      </c>
      <c r="B249" t="s">
        <v>34</v>
      </c>
      <c r="C249">
        <v>6.1</v>
      </c>
      <c r="D249" t="s">
        <v>41</v>
      </c>
      <c r="E249">
        <v>4.4000000000000004</v>
      </c>
      <c r="F249">
        <v>2.1</v>
      </c>
      <c r="G249">
        <v>2.23</v>
      </c>
      <c r="H249">
        <v>1</v>
      </c>
      <c r="I249" t="s">
        <v>36</v>
      </c>
      <c r="J249">
        <v>8</v>
      </c>
      <c r="K249">
        <v>2</v>
      </c>
      <c r="L249">
        <v>5</v>
      </c>
      <c r="M249">
        <v>0</v>
      </c>
    </row>
    <row r="250" spans="1:13" x14ac:dyDescent="0.25">
      <c r="A250">
        <v>16</v>
      </c>
      <c r="B250" t="s">
        <v>34</v>
      </c>
      <c r="C250">
        <v>5.4</v>
      </c>
      <c r="D250" t="s">
        <v>38</v>
      </c>
      <c r="E250">
        <v>8.6999999999999993</v>
      </c>
      <c r="F250">
        <v>1.9</v>
      </c>
      <c r="G250">
        <v>2.67</v>
      </c>
      <c r="H250">
        <v>1.3</v>
      </c>
      <c r="I250" t="s">
        <v>36</v>
      </c>
      <c r="J250">
        <v>1</v>
      </c>
      <c r="K250">
        <v>5</v>
      </c>
      <c r="L250">
        <v>7</v>
      </c>
      <c r="M250">
        <v>0</v>
      </c>
    </row>
    <row r="251" spans="1:13" x14ac:dyDescent="0.25">
      <c r="A251">
        <v>19</v>
      </c>
      <c r="B251" t="s">
        <v>34</v>
      </c>
      <c r="C251">
        <v>2.7</v>
      </c>
      <c r="D251" t="s">
        <v>41</v>
      </c>
      <c r="E251">
        <v>7.7</v>
      </c>
      <c r="F251">
        <v>0.7</v>
      </c>
      <c r="G251">
        <v>2.2200000000000002</v>
      </c>
      <c r="H251">
        <v>0.4</v>
      </c>
      <c r="I251" t="s">
        <v>40</v>
      </c>
      <c r="J251">
        <v>10</v>
      </c>
      <c r="K251">
        <v>8</v>
      </c>
      <c r="L251">
        <v>7</v>
      </c>
      <c r="M251">
        <v>0</v>
      </c>
    </row>
    <row r="252" spans="1:13" x14ac:dyDescent="0.25">
      <c r="A252">
        <v>13</v>
      </c>
      <c r="B252" t="s">
        <v>37</v>
      </c>
      <c r="C252">
        <v>7.9</v>
      </c>
      <c r="D252" t="s">
        <v>35</v>
      </c>
      <c r="E252">
        <v>7.2</v>
      </c>
      <c r="F252">
        <v>1.5</v>
      </c>
      <c r="G252">
        <v>2.36</v>
      </c>
      <c r="H252">
        <v>0.2</v>
      </c>
      <c r="I252" t="s">
        <v>40</v>
      </c>
      <c r="J252">
        <v>2</v>
      </c>
      <c r="K252">
        <v>6</v>
      </c>
      <c r="L252">
        <v>8</v>
      </c>
      <c r="M252">
        <v>0</v>
      </c>
    </row>
    <row r="253" spans="1:13" x14ac:dyDescent="0.25">
      <c r="A253">
        <v>13</v>
      </c>
      <c r="B253" t="s">
        <v>34</v>
      </c>
      <c r="C253">
        <v>4.5999999999999996</v>
      </c>
      <c r="D253" t="s">
        <v>38</v>
      </c>
      <c r="E253">
        <v>7.3</v>
      </c>
      <c r="F253">
        <v>1.6</v>
      </c>
      <c r="G253">
        <v>2.91</v>
      </c>
      <c r="H253">
        <v>0.4</v>
      </c>
      <c r="I253" t="s">
        <v>36</v>
      </c>
      <c r="J253">
        <v>10</v>
      </c>
      <c r="K253">
        <v>5</v>
      </c>
      <c r="L253">
        <v>7</v>
      </c>
      <c r="M253">
        <v>0</v>
      </c>
    </row>
    <row r="254" spans="1:13" x14ac:dyDescent="0.25">
      <c r="A254">
        <v>13</v>
      </c>
      <c r="B254" t="s">
        <v>34</v>
      </c>
      <c r="C254">
        <v>5.6</v>
      </c>
      <c r="D254" t="s">
        <v>35</v>
      </c>
      <c r="E254">
        <v>4.5999999999999996</v>
      </c>
      <c r="F254">
        <v>1.9</v>
      </c>
      <c r="G254">
        <v>2.54</v>
      </c>
      <c r="H254">
        <v>0.1</v>
      </c>
      <c r="I254" t="s">
        <v>36</v>
      </c>
      <c r="J254">
        <v>5</v>
      </c>
      <c r="K254">
        <v>5</v>
      </c>
      <c r="L254">
        <v>6</v>
      </c>
      <c r="M254">
        <v>0</v>
      </c>
    </row>
    <row r="255" spans="1:13" x14ac:dyDescent="0.25">
      <c r="A255">
        <v>17</v>
      </c>
      <c r="B255" t="s">
        <v>37</v>
      </c>
      <c r="C255">
        <v>6.5</v>
      </c>
      <c r="D255" t="s">
        <v>38</v>
      </c>
      <c r="E255">
        <v>6.4</v>
      </c>
      <c r="F255">
        <v>0.7</v>
      </c>
      <c r="G255">
        <v>3.57</v>
      </c>
      <c r="H255">
        <v>1.1000000000000001</v>
      </c>
      <c r="I255" t="s">
        <v>36</v>
      </c>
      <c r="J255">
        <v>2</v>
      </c>
      <c r="K255">
        <v>9</v>
      </c>
      <c r="L255">
        <v>6</v>
      </c>
      <c r="M255">
        <v>0</v>
      </c>
    </row>
    <row r="256" spans="1:13" x14ac:dyDescent="0.25">
      <c r="A256">
        <v>19</v>
      </c>
      <c r="B256" t="s">
        <v>34</v>
      </c>
      <c r="C256">
        <v>5.9</v>
      </c>
      <c r="D256" t="s">
        <v>41</v>
      </c>
      <c r="E256">
        <v>7.2</v>
      </c>
      <c r="F256">
        <v>0.9</v>
      </c>
      <c r="G256">
        <v>3.99</v>
      </c>
      <c r="H256">
        <v>1.7</v>
      </c>
      <c r="I256" t="s">
        <v>36</v>
      </c>
      <c r="J256">
        <v>7</v>
      </c>
      <c r="K256">
        <v>9</v>
      </c>
      <c r="L256">
        <v>3</v>
      </c>
      <c r="M256">
        <v>0</v>
      </c>
    </row>
    <row r="257" spans="1:13" x14ac:dyDescent="0.25">
      <c r="A257">
        <v>19</v>
      </c>
      <c r="B257" t="s">
        <v>37</v>
      </c>
      <c r="C257">
        <v>1.1000000000000001</v>
      </c>
      <c r="D257" t="s">
        <v>38</v>
      </c>
      <c r="E257">
        <v>5.0999999999999996</v>
      </c>
      <c r="F257">
        <v>2.2000000000000002</v>
      </c>
      <c r="G257">
        <v>2.13</v>
      </c>
      <c r="H257">
        <v>0.9</v>
      </c>
      <c r="I257" t="s">
        <v>36</v>
      </c>
      <c r="J257">
        <v>7</v>
      </c>
      <c r="K257">
        <v>7</v>
      </c>
      <c r="L257">
        <v>2</v>
      </c>
      <c r="M257">
        <v>0</v>
      </c>
    </row>
    <row r="258" spans="1:13" x14ac:dyDescent="0.25">
      <c r="A258">
        <v>18</v>
      </c>
      <c r="B258" t="s">
        <v>34</v>
      </c>
      <c r="C258">
        <v>3.2</v>
      </c>
      <c r="D258" t="s">
        <v>38</v>
      </c>
      <c r="E258">
        <v>5.0999999999999996</v>
      </c>
      <c r="F258">
        <v>1.2</v>
      </c>
      <c r="G258">
        <v>3.54</v>
      </c>
      <c r="H258">
        <v>1.3</v>
      </c>
      <c r="I258" t="s">
        <v>36</v>
      </c>
      <c r="J258">
        <v>6</v>
      </c>
      <c r="K258">
        <v>2</v>
      </c>
      <c r="L258">
        <v>8</v>
      </c>
      <c r="M258">
        <v>0</v>
      </c>
    </row>
    <row r="259" spans="1:13" x14ac:dyDescent="0.25">
      <c r="A259">
        <v>14</v>
      </c>
      <c r="B259" t="s">
        <v>34</v>
      </c>
      <c r="C259">
        <v>6.5</v>
      </c>
      <c r="D259" t="s">
        <v>35</v>
      </c>
      <c r="E259">
        <v>5.3</v>
      </c>
      <c r="F259">
        <v>2.7</v>
      </c>
      <c r="G259">
        <v>3.79</v>
      </c>
      <c r="H259">
        <v>0.8</v>
      </c>
      <c r="I259" t="s">
        <v>36</v>
      </c>
      <c r="J259">
        <v>8</v>
      </c>
      <c r="K259">
        <v>6</v>
      </c>
      <c r="L259">
        <v>4</v>
      </c>
      <c r="M259">
        <v>0</v>
      </c>
    </row>
    <row r="260" spans="1:13" x14ac:dyDescent="0.25">
      <c r="A260">
        <v>17</v>
      </c>
      <c r="B260" t="s">
        <v>37</v>
      </c>
      <c r="C260">
        <v>7.3</v>
      </c>
      <c r="D260" t="s">
        <v>35</v>
      </c>
      <c r="E260">
        <v>6.2</v>
      </c>
      <c r="F260">
        <v>1</v>
      </c>
      <c r="G260">
        <v>2.02</v>
      </c>
      <c r="H260">
        <v>0.2</v>
      </c>
      <c r="I260" t="s">
        <v>36</v>
      </c>
      <c r="J260">
        <v>1</v>
      </c>
      <c r="K260">
        <v>6</v>
      </c>
      <c r="L260">
        <v>3</v>
      </c>
      <c r="M260">
        <v>0</v>
      </c>
    </row>
    <row r="261" spans="1:13" x14ac:dyDescent="0.25">
      <c r="A261">
        <v>17</v>
      </c>
      <c r="B261" t="s">
        <v>34</v>
      </c>
      <c r="C261">
        <v>1.5</v>
      </c>
      <c r="D261" t="s">
        <v>38</v>
      </c>
      <c r="E261">
        <v>5.5</v>
      </c>
      <c r="F261">
        <v>1.7</v>
      </c>
      <c r="G261">
        <v>2.93</v>
      </c>
      <c r="H261">
        <v>0.7</v>
      </c>
      <c r="I261" t="s">
        <v>36</v>
      </c>
      <c r="J261">
        <v>4</v>
      </c>
      <c r="K261">
        <v>9</v>
      </c>
      <c r="L261">
        <v>9</v>
      </c>
      <c r="M261">
        <v>0</v>
      </c>
    </row>
    <row r="262" spans="1:13" x14ac:dyDescent="0.25">
      <c r="A262">
        <v>16</v>
      </c>
      <c r="B262" t="s">
        <v>34</v>
      </c>
      <c r="C262">
        <v>3.8</v>
      </c>
      <c r="D262" t="s">
        <v>35</v>
      </c>
      <c r="E262">
        <v>6.8</v>
      </c>
      <c r="F262">
        <v>2.4</v>
      </c>
      <c r="G262">
        <v>3.1</v>
      </c>
      <c r="H262">
        <v>1.6</v>
      </c>
      <c r="I262" t="s">
        <v>36</v>
      </c>
      <c r="J262">
        <v>6</v>
      </c>
      <c r="K262">
        <v>10</v>
      </c>
      <c r="L262">
        <v>4</v>
      </c>
      <c r="M262">
        <v>0</v>
      </c>
    </row>
    <row r="263" spans="1:13" x14ac:dyDescent="0.25">
      <c r="A263">
        <v>13</v>
      </c>
      <c r="B263" t="s">
        <v>37</v>
      </c>
      <c r="C263">
        <v>3.6</v>
      </c>
      <c r="D263" t="s">
        <v>38</v>
      </c>
      <c r="E263">
        <v>8.6</v>
      </c>
      <c r="F263">
        <v>2.8</v>
      </c>
      <c r="G263">
        <v>3.28</v>
      </c>
      <c r="H263">
        <v>0.7</v>
      </c>
      <c r="I263" t="s">
        <v>39</v>
      </c>
      <c r="J263">
        <v>10</v>
      </c>
      <c r="K263">
        <v>3</v>
      </c>
      <c r="L263">
        <v>5</v>
      </c>
      <c r="M263">
        <v>0</v>
      </c>
    </row>
    <row r="264" spans="1:13" x14ac:dyDescent="0.25">
      <c r="A264">
        <v>15</v>
      </c>
      <c r="B264" t="s">
        <v>34</v>
      </c>
      <c r="C264">
        <v>3.6</v>
      </c>
      <c r="D264" t="s">
        <v>38</v>
      </c>
      <c r="E264">
        <v>4.3</v>
      </c>
      <c r="F264">
        <v>2.9</v>
      </c>
      <c r="G264">
        <v>2.2000000000000002</v>
      </c>
      <c r="H264">
        <v>1</v>
      </c>
      <c r="I264" t="s">
        <v>39</v>
      </c>
      <c r="J264">
        <v>10</v>
      </c>
      <c r="K264">
        <v>9</v>
      </c>
      <c r="L264">
        <v>7</v>
      </c>
      <c r="M264">
        <v>0</v>
      </c>
    </row>
    <row r="265" spans="1:13" x14ac:dyDescent="0.25">
      <c r="A265">
        <v>17</v>
      </c>
      <c r="B265" t="s">
        <v>37</v>
      </c>
      <c r="C265">
        <v>5.3</v>
      </c>
      <c r="D265" t="s">
        <v>35</v>
      </c>
      <c r="E265">
        <v>7.4</v>
      </c>
      <c r="F265">
        <v>1.2</v>
      </c>
      <c r="G265">
        <v>3.41</v>
      </c>
      <c r="H265">
        <v>1.1000000000000001</v>
      </c>
      <c r="I265" t="s">
        <v>39</v>
      </c>
      <c r="J265">
        <v>6</v>
      </c>
      <c r="K265">
        <v>3</v>
      </c>
      <c r="L265">
        <v>7</v>
      </c>
      <c r="M265">
        <v>0</v>
      </c>
    </row>
    <row r="266" spans="1:13" x14ac:dyDescent="0.25">
      <c r="A266">
        <v>19</v>
      </c>
      <c r="B266" t="s">
        <v>34</v>
      </c>
      <c r="C266">
        <v>4.4000000000000004</v>
      </c>
      <c r="D266" t="s">
        <v>38</v>
      </c>
      <c r="E266">
        <v>4.3</v>
      </c>
      <c r="F266">
        <v>0.8</v>
      </c>
      <c r="G266">
        <v>2.44</v>
      </c>
      <c r="H266">
        <v>1</v>
      </c>
      <c r="I266" t="s">
        <v>39</v>
      </c>
      <c r="J266">
        <v>9</v>
      </c>
      <c r="K266">
        <v>9</v>
      </c>
      <c r="L266">
        <v>7</v>
      </c>
      <c r="M266">
        <v>0</v>
      </c>
    </row>
    <row r="267" spans="1:13" x14ac:dyDescent="0.25">
      <c r="A267">
        <v>18</v>
      </c>
      <c r="B267" t="s">
        <v>34</v>
      </c>
      <c r="C267">
        <v>7.7</v>
      </c>
      <c r="D267" t="s">
        <v>38</v>
      </c>
      <c r="E267">
        <v>4.7</v>
      </c>
      <c r="F267">
        <v>1.4</v>
      </c>
      <c r="G267">
        <v>3.04</v>
      </c>
      <c r="H267">
        <v>0.6</v>
      </c>
      <c r="I267" t="s">
        <v>40</v>
      </c>
      <c r="J267">
        <v>9</v>
      </c>
      <c r="K267">
        <v>6</v>
      </c>
      <c r="L267">
        <v>6</v>
      </c>
      <c r="M267">
        <v>0</v>
      </c>
    </row>
    <row r="268" spans="1:13" x14ac:dyDescent="0.25">
      <c r="A268">
        <v>14</v>
      </c>
      <c r="B268" t="s">
        <v>37</v>
      </c>
      <c r="C268">
        <v>7.1</v>
      </c>
      <c r="D268" t="s">
        <v>38</v>
      </c>
      <c r="E268">
        <v>4.5</v>
      </c>
      <c r="F268">
        <v>2.4</v>
      </c>
      <c r="G268">
        <v>3.53</v>
      </c>
      <c r="H268">
        <v>0.4</v>
      </c>
      <c r="I268" t="s">
        <v>39</v>
      </c>
      <c r="J268">
        <v>3</v>
      </c>
      <c r="K268">
        <v>4</v>
      </c>
      <c r="L268">
        <v>4</v>
      </c>
      <c r="M268">
        <v>0</v>
      </c>
    </row>
    <row r="269" spans="1:13" x14ac:dyDescent="0.25">
      <c r="A269">
        <v>16</v>
      </c>
      <c r="B269" t="s">
        <v>34</v>
      </c>
      <c r="C269">
        <v>4.9000000000000004</v>
      </c>
      <c r="D269" t="s">
        <v>35</v>
      </c>
      <c r="E269">
        <v>6.8</v>
      </c>
      <c r="F269">
        <v>1</v>
      </c>
      <c r="G269">
        <v>3.18</v>
      </c>
      <c r="H269">
        <v>1.9</v>
      </c>
      <c r="I269" t="s">
        <v>39</v>
      </c>
      <c r="J269">
        <v>7</v>
      </c>
      <c r="K269">
        <v>4</v>
      </c>
      <c r="L269">
        <v>8</v>
      </c>
      <c r="M269">
        <v>0</v>
      </c>
    </row>
    <row r="270" spans="1:13" x14ac:dyDescent="0.25">
      <c r="A270">
        <v>19</v>
      </c>
      <c r="B270" t="s">
        <v>34</v>
      </c>
      <c r="C270">
        <v>4.5999999999999996</v>
      </c>
      <c r="D270" t="s">
        <v>41</v>
      </c>
      <c r="E270">
        <v>8.9</v>
      </c>
      <c r="F270">
        <v>1.9</v>
      </c>
      <c r="G270">
        <v>2.5</v>
      </c>
      <c r="H270">
        <v>0.4</v>
      </c>
      <c r="I270" t="s">
        <v>40</v>
      </c>
      <c r="J270">
        <v>8</v>
      </c>
      <c r="K270">
        <v>1</v>
      </c>
      <c r="L270">
        <v>3</v>
      </c>
      <c r="M270">
        <v>0</v>
      </c>
    </row>
    <row r="271" spans="1:13" x14ac:dyDescent="0.25">
      <c r="A271">
        <v>19</v>
      </c>
      <c r="B271" t="s">
        <v>34</v>
      </c>
      <c r="C271">
        <v>1.8</v>
      </c>
      <c r="D271" t="s">
        <v>35</v>
      </c>
      <c r="E271">
        <v>6.5</v>
      </c>
      <c r="F271">
        <v>2.6</v>
      </c>
      <c r="G271">
        <v>2.75</v>
      </c>
      <c r="H271">
        <v>1.7</v>
      </c>
      <c r="I271" t="s">
        <v>39</v>
      </c>
      <c r="J271">
        <v>7</v>
      </c>
      <c r="K271">
        <v>6</v>
      </c>
      <c r="L271">
        <v>1</v>
      </c>
      <c r="M271">
        <v>0</v>
      </c>
    </row>
    <row r="272" spans="1:13" x14ac:dyDescent="0.25">
      <c r="A272">
        <v>16</v>
      </c>
      <c r="B272" t="s">
        <v>34</v>
      </c>
      <c r="C272">
        <v>4.2</v>
      </c>
      <c r="D272" t="s">
        <v>41</v>
      </c>
      <c r="E272">
        <v>5.7</v>
      </c>
      <c r="F272">
        <v>1</v>
      </c>
      <c r="G272">
        <v>2.77</v>
      </c>
      <c r="H272">
        <v>0.1</v>
      </c>
      <c r="I272" t="s">
        <v>39</v>
      </c>
      <c r="J272">
        <v>10</v>
      </c>
      <c r="K272">
        <v>5</v>
      </c>
      <c r="L272">
        <v>9</v>
      </c>
      <c r="M272">
        <v>0</v>
      </c>
    </row>
    <row r="273" spans="1:13" x14ac:dyDescent="0.25">
      <c r="A273">
        <v>16</v>
      </c>
      <c r="B273" t="s">
        <v>34</v>
      </c>
      <c r="C273">
        <v>1.5</v>
      </c>
      <c r="D273" t="s">
        <v>38</v>
      </c>
      <c r="E273">
        <v>6.7</v>
      </c>
      <c r="F273">
        <v>0.5</v>
      </c>
      <c r="G273">
        <v>2.78</v>
      </c>
      <c r="H273">
        <v>1.2</v>
      </c>
      <c r="I273" t="s">
        <v>36</v>
      </c>
      <c r="J273">
        <v>1</v>
      </c>
      <c r="K273">
        <v>9</v>
      </c>
      <c r="L273">
        <v>6</v>
      </c>
      <c r="M273">
        <v>0</v>
      </c>
    </row>
    <row r="274" spans="1:13" x14ac:dyDescent="0.25">
      <c r="A274">
        <v>19</v>
      </c>
      <c r="B274" t="s">
        <v>34</v>
      </c>
      <c r="C274">
        <v>7</v>
      </c>
      <c r="D274" t="s">
        <v>35</v>
      </c>
      <c r="E274">
        <v>8.9</v>
      </c>
      <c r="F274">
        <v>2.8</v>
      </c>
      <c r="G274">
        <v>2.84</v>
      </c>
      <c r="H274">
        <v>0.4</v>
      </c>
      <c r="I274" t="s">
        <v>39</v>
      </c>
      <c r="J274">
        <v>6</v>
      </c>
      <c r="K274">
        <v>8</v>
      </c>
      <c r="L274">
        <v>6</v>
      </c>
      <c r="M274">
        <v>0</v>
      </c>
    </row>
    <row r="275" spans="1:13" x14ac:dyDescent="0.25">
      <c r="A275">
        <v>14</v>
      </c>
      <c r="B275" t="s">
        <v>37</v>
      </c>
      <c r="C275">
        <v>6.5</v>
      </c>
      <c r="D275" t="s">
        <v>41</v>
      </c>
      <c r="E275">
        <v>7.8</v>
      </c>
      <c r="F275">
        <v>1.5</v>
      </c>
      <c r="G275">
        <v>3.26</v>
      </c>
      <c r="H275">
        <v>0.8</v>
      </c>
      <c r="I275" t="s">
        <v>40</v>
      </c>
      <c r="J275">
        <v>9</v>
      </c>
      <c r="K275">
        <v>2</v>
      </c>
      <c r="L275">
        <v>3</v>
      </c>
      <c r="M275">
        <v>0</v>
      </c>
    </row>
    <row r="276" spans="1:13" x14ac:dyDescent="0.25">
      <c r="A276">
        <v>19</v>
      </c>
      <c r="B276" t="s">
        <v>37</v>
      </c>
      <c r="C276">
        <v>4.3</v>
      </c>
      <c r="D276" t="s">
        <v>35</v>
      </c>
      <c r="E276">
        <v>5.9</v>
      </c>
      <c r="F276">
        <v>2.1</v>
      </c>
      <c r="G276">
        <v>2.85</v>
      </c>
      <c r="H276">
        <v>1.7</v>
      </c>
      <c r="I276" t="s">
        <v>39</v>
      </c>
      <c r="J276">
        <v>9</v>
      </c>
      <c r="K276">
        <v>9</v>
      </c>
      <c r="L276">
        <v>8</v>
      </c>
      <c r="M276">
        <v>0</v>
      </c>
    </row>
    <row r="277" spans="1:13" x14ac:dyDescent="0.25">
      <c r="A277">
        <v>16</v>
      </c>
      <c r="B277" t="s">
        <v>34</v>
      </c>
      <c r="C277">
        <v>7.2</v>
      </c>
      <c r="D277" t="s">
        <v>41</v>
      </c>
      <c r="E277">
        <v>7.7</v>
      </c>
      <c r="F277">
        <v>2.5</v>
      </c>
      <c r="G277">
        <v>2.56</v>
      </c>
      <c r="H277">
        <v>1.7</v>
      </c>
      <c r="I277" t="s">
        <v>39</v>
      </c>
      <c r="J277">
        <v>8</v>
      </c>
      <c r="K277">
        <v>7</v>
      </c>
      <c r="L277">
        <v>6</v>
      </c>
      <c r="M277">
        <v>0</v>
      </c>
    </row>
    <row r="278" spans="1:13" x14ac:dyDescent="0.25">
      <c r="A278">
        <v>13</v>
      </c>
      <c r="B278" t="s">
        <v>34</v>
      </c>
      <c r="C278">
        <v>7</v>
      </c>
      <c r="D278" t="s">
        <v>41</v>
      </c>
      <c r="E278">
        <v>4.0999999999999996</v>
      </c>
      <c r="F278">
        <v>1.9</v>
      </c>
      <c r="G278">
        <v>2.2999999999999998</v>
      </c>
      <c r="H278">
        <v>0.3</v>
      </c>
      <c r="I278" t="s">
        <v>40</v>
      </c>
      <c r="J278">
        <v>3</v>
      </c>
      <c r="K278">
        <v>10</v>
      </c>
      <c r="L278">
        <v>6</v>
      </c>
      <c r="M278">
        <v>0</v>
      </c>
    </row>
    <row r="279" spans="1:13" x14ac:dyDescent="0.25">
      <c r="A279">
        <v>18</v>
      </c>
      <c r="B279" t="s">
        <v>37</v>
      </c>
      <c r="C279">
        <v>3.8</v>
      </c>
      <c r="D279" t="s">
        <v>41</v>
      </c>
      <c r="E279">
        <v>5.4</v>
      </c>
      <c r="F279">
        <v>1.7</v>
      </c>
      <c r="G279">
        <v>3.06</v>
      </c>
      <c r="H279">
        <v>1.9</v>
      </c>
      <c r="I279" t="s">
        <v>40</v>
      </c>
      <c r="J279">
        <v>5</v>
      </c>
      <c r="K279">
        <v>10</v>
      </c>
      <c r="L279">
        <v>3</v>
      </c>
      <c r="M279">
        <v>0</v>
      </c>
    </row>
    <row r="280" spans="1:13" x14ac:dyDescent="0.25">
      <c r="A280">
        <v>17</v>
      </c>
      <c r="B280" t="s">
        <v>37</v>
      </c>
      <c r="C280">
        <v>3</v>
      </c>
      <c r="D280" t="s">
        <v>35</v>
      </c>
      <c r="E280">
        <v>6.9</v>
      </c>
      <c r="F280">
        <v>2.2999999999999998</v>
      </c>
      <c r="G280">
        <v>3.34</v>
      </c>
      <c r="H280">
        <v>0.6</v>
      </c>
      <c r="I280" t="s">
        <v>36</v>
      </c>
      <c r="J280">
        <v>5</v>
      </c>
      <c r="K280">
        <v>2</v>
      </c>
      <c r="L280">
        <v>9</v>
      </c>
      <c r="M280">
        <v>0</v>
      </c>
    </row>
    <row r="281" spans="1:13" x14ac:dyDescent="0.25">
      <c r="A281">
        <v>14</v>
      </c>
      <c r="B281" t="s">
        <v>37</v>
      </c>
      <c r="C281">
        <v>7</v>
      </c>
      <c r="D281" t="s">
        <v>38</v>
      </c>
      <c r="E281">
        <v>7.8</v>
      </c>
      <c r="F281">
        <v>1.1000000000000001</v>
      </c>
      <c r="G281">
        <v>3.81</v>
      </c>
      <c r="H281">
        <v>1.4</v>
      </c>
      <c r="I281" t="s">
        <v>40</v>
      </c>
      <c r="J281">
        <v>10</v>
      </c>
      <c r="K281">
        <v>4</v>
      </c>
      <c r="L281">
        <v>2</v>
      </c>
      <c r="M281">
        <v>0</v>
      </c>
    </row>
    <row r="282" spans="1:13" x14ac:dyDescent="0.25">
      <c r="A282">
        <v>13</v>
      </c>
      <c r="B282" t="s">
        <v>34</v>
      </c>
      <c r="C282">
        <v>4.5999999999999996</v>
      </c>
      <c r="D282" t="s">
        <v>38</v>
      </c>
      <c r="E282">
        <v>5.3</v>
      </c>
      <c r="F282">
        <v>2.2999999999999998</v>
      </c>
      <c r="G282">
        <v>2.42</v>
      </c>
      <c r="H282">
        <v>0.2</v>
      </c>
      <c r="I282" t="s">
        <v>36</v>
      </c>
      <c r="J282">
        <v>5</v>
      </c>
      <c r="K282">
        <v>9</v>
      </c>
      <c r="L282">
        <v>5</v>
      </c>
      <c r="M282">
        <v>0</v>
      </c>
    </row>
    <row r="283" spans="1:13" x14ac:dyDescent="0.25">
      <c r="A283">
        <v>16</v>
      </c>
      <c r="B283" t="s">
        <v>34</v>
      </c>
      <c r="C283">
        <v>3.4</v>
      </c>
      <c r="D283" t="s">
        <v>41</v>
      </c>
      <c r="E283">
        <v>8.9</v>
      </c>
      <c r="F283">
        <v>2.6</v>
      </c>
      <c r="G283">
        <v>2.54</v>
      </c>
      <c r="H283">
        <v>1.8</v>
      </c>
      <c r="I283" t="s">
        <v>39</v>
      </c>
      <c r="J283">
        <v>6</v>
      </c>
      <c r="K283">
        <v>2</v>
      </c>
      <c r="L283">
        <v>5</v>
      </c>
      <c r="M283">
        <v>0</v>
      </c>
    </row>
    <row r="284" spans="1:13" x14ac:dyDescent="0.25">
      <c r="A284">
        <v>19</v>
      </c>
      <c r="B284" t="s">
        <v>37</v>
      </c>
      <c r="C284">
        <v>3.5</v>
      </c>
      <c r="D284" t="s">
        <v>38</v>
      </c>
      <c r="E284">
        <v>6.7</v>
      </c>
      <c r="F284">
        <v>2.7</v>
      </c>
      <c r="G284">
        <v>3.4</v>
      </c>
      <c r="H284">
        <v>1.2</v>
      </c>
      <c r="I284" t="s">
        <v>36</v>
      </c>
      <c r="J284">
        <v>4</v>
      </c>
      <c r="K284">
        <v>6</v>
      </c>
      <c r="L284">
        <v>7</v>
      </c>
      <c r="M284">
        <v>0</v>
      </c>
    </row>
    <row r="285" spans="1:13" x14ac:dyDescent="0.25">
      <c r="A285">
        <v>14</v>
      </c>
      <c r="B285" t="s">
        <v>37</v>
      </c>
      <c r="C285">
        <v>4.4000000000000004</v>
      </c>
      <c r="D285" t="s">
        <v>41</v>
      </c>
      <c r="E285">
        <v>7.3</v>
      </c>
      <c r="F285">
        <v>2.7</v>
      </c>
      <c r="G285">
        <v>3.3</v>
      </c>
      <c r="H285">
        <v>1.1000000000000001</v>
      </c>
      <c r="I285" t="s">
        <v>36</v>
      </c>
      <c r="J285">
        <v>2</v>
      </c>
      <c r="K285">
        <v>1</v>
      </c>
      <c r="L285">
        <v>9</v>
      </c>
      <c r="M285">
        <v>0</v>
      </c>
    </row>
    <row r="286" spans="1:13" x14ac:dyDescent="0.25">
      <c r="A286">
        <v>14</v>
      </c>
      <c r="B286" t="s">
        <v>37</v>
      </c>
      <c r="C286">
        <v>1.8</v>
      </c>
      <c r="D286" t="s">
        <v>41</v>
      </c>
      <c r="E286">
        <v>8.1999999999999993</v>
      </c>
      <c r="F286">
        <v>2.2000000000000002</v>
      </c>
      <c r="G286">
        <v>3.36</v>
      </c>
      <c r="H286">
        <v>1.7</v>
      </c>
      <c r="I286" t="s">
        <v>39</v>
      </c>
      <c r="J286">
        <v>9</v>
      </c>
      <c r="K286">
        <v>5</v>
      </c>
      <c r="L286">
        <v>10</v>
      </c>
      <c r="M286">
        <v>0</v>
      </c>
    </row>
    <row r="287" spans="1:13" x14ac:dyDescent="0.25">
      <c r="A287">
        <v>17</v>
      </c>
      <c r="B287" t="s">
        <v>34</v>
      </c>
      <c r="C287">
        <v>3.9</v>
      </c>
      <c r="D287" t="s">
        <v>41</v>
      </c>
      <c r="E287">
        <v>7.7</v>
      </c>
      <c r="F287">
        <v>1</v>
      </c>
      <c r="G287">
        <v>2.1</v>
      </c>
      <c r="H287">
        <v>1.8</v>
      </c>
      <c r="I287" t="s">
        <v>39</v>
      </c>
      <c r="J287">
        <v>7</v>
      </c>
      <c r="K287">
        <v>4</v>
      </c>
      <c r="L287">
        <v>5</v>
      </c>
      <c r="M287">
        <v>0</v>
      </c>
    </row>
    <row r="288" spans="1:13" x14ac:dyDescent="0.25">
      <c r="A288">
        <v>14</v>
      </c>
      <c r="B288" t="s">
        <v>37</v>
      </c>
      <c r="C288">
        <v>4.4000000000000004</v>
      </c>
      <c r="D288" t="s">
        <v>38</v>
      </c>
      <c r="E288">
        <v>5.7</v>
      </c>
      <c r="F288">
        <v>1</v>
      </c>
      <c r="G288">
        <v>3.2</v>
      </c>
      <c r="H288">
        <v>1.9</v>
      </c>
      <c r="I288" t="s">
        <v>39</v>
      </c>
      <c r="J288">
        <v>4</v>
      </c>
      <c r="K288">
        <v>2</v>
      </c>
      <c r="L288">
        <v>2</v>
      </c>
      <c r="M288">
        <v>0</v>
      </c>
    </row>
    <row r="289" spans="1:13" x14ac:dyDescent="0.25">
      <c r="A289">
        <v>13</v>
      </c>
      <c r="B289" t="s">
        <v>37</v>
      </c>
      <c r="C289">
        <v>2</v>
      </c>
      <c r="D289" t="s">
        <v>35</v>
      </c>
      <c r="E289">
        <v>8.6999999999999993</v>
      </c>
      <c r="F289">
        <v>1.9</v>
      </c>
      <c r="G289">
        <v>2.2799999999999998</v>
      </c>
      <c r="H289">
        <v>1.2</v>
      </c>
      <c r="I289" t="s">
        <v>40</v>
      </c>
      <c r="J289">
        <v>7</v>
      </c>
      <c r="K289">
        <v>7</v>
      </c>
      <c r="L289">
        <v>9</v>
      </c>
      <c r="M289">
        <v>0</v>
      </c>
    </row>
    <row r="290" spans="1:13" x14ac:dyDescent="0.25">
      <c r="A290">
        <v>17</v>
      </c>
      <c r="B290" t="s">
        <v>34</v>
      </c>
      <c r="C290">
        <v>7.2</v>
      </c>
      <c r="D290" t="s">
        <v>38</v>
      </c>
      <c r="E290">
        <v>8.8000000000000007</v>
      </c>
      <c r="F290">
        <v>2.5</v>
      </c>
      <c r="G290">
        <v>3.97</v>
      </c>
      <c r="H290">
        <v>1.9</v>
      </c>
      <c r="I290" t="s">
        <v>36</v>
      </c>
      <c r="J290">
        <v>1</v>
      </c>
      <c r="K290">
        <v>3</v>
      </c>
      <c r="L290">
        <v>9</v>
      </c>
      <c r="M290">
        <v>0</v>
      </c>
    </row>
    <row r="291" spans="1:13" x14ac:dyDescent="0.25">
      <c r="A291">
        <v>19</v>
      </c>
      <c r="B291" t="s">
        <v>34</v>
      </c>
      <c r="C291">
        <v>4.4000000000000004</v>
      </c>
      <c r="D291" t="s">
        <v>41</v>
      </c>
      <c r="E291">
        <v>6.4</v>
      </c>
      <c r="F291">
        <v>0.9</v>
      </c>
      <c r="G291">
        <v>2.72</v>
      </c>
      <c r="H291">
        <v>0.2</v>
      </c>
      <c r="I291" t="s">
        <v>40</v>
      </c>
      <c r="J291">
        <v>6</v>
      </c>
      <c r="K291">
        <v>9</v>
      </c>
      <c r="L291">
        <v>8</v>
      </c>
      <c r="M291">
        <v>0</v>
      </c>
    </row>
    <row r="292" spans="1:13" x14ac:dyDescent="0.25">
      <c r="A292">
        <v>14</v>
      </c>
      <c r="B292" t="s">
        <v>34</v>
      </c>
      <c r="C292">
        <v>7.2</v>
      </c>
      <c r="D292" t="s">
        <v>38</v>
      </c>
      <c r="E292">
        <v>4.8</v>
      </c>
      <c r="F292">
        <v>1.4</v>
      </c>
      <c r="G292">
        <v>2.36</v>
      </c>
      <c r="H292">
        <v>0.1</v>
      </c>
      <c r="I292" t="s">
        <v>36</v>
      </c>
      <c r="J292">
        <v>5</v>
      </c>
      <c r="K292">
        <v>7</v>
      </c>
      <c r="L292">
        <v>1</v>
      </c>
      <c r="M292">
        <v>0</v>
      </c>
    </row>
    <row r="293" spans="1:13" x14ac:dyDescent="0.25">
      <c r="A293">
        <v>13</v>
      </c>
      <c r="B293" t="s">
        <v>34</v>
      </c>
      <c r="C293">
        <v>5.4</v>
      </c>
      <c r="D293" t="s">
        <v>35</v>
      </c>
      <c r="E293">
        <v>6.5</v>
      </c>
      <c r="F293">
        <v>0.8</v>
      </c>
      <c r="G293">
        <v>3.17</v>
      </c>
      <c r="H293">
        <v>0.3</v>
      </c>
      <c r="I293" t="s">
        <v>40</v>
      </c>
      <c r="J293">
        <v>10</v>
      </c>
      <c r="K293">
        <v>3</v>
      </c>
      <c r="L293">
        <v>3</v>
      </c>
      <c r="M293">
        <v>0</v>
      </c>
    </row>
    <row r="294" spans="1:13" x14ac:dyDescent="0.25">
      <c r="A294">
        <v>16</v>
      </c>
      <c r="B294" t="s">
        <v>34</v>
      </c>
      <c r="C294">
        <v>1.5</v>
      </c>
      <c r="D294" t="s">
        <v>38</v>
      </c>
      <c r="E294">
        <v>4.0999999999999996</v>
      </c>
      <c r="F294">
        <v>1.3</v>
      </c>
      <c r="G294">
        <v>3.67</v>
      </c>
      <c r="H294">
        <v>1.2</v>
      </c>
      <c r="I294" t="s">
        <v>39</v>
      </c>
      <c r="J294">
        <v>10</v>
      </c>
      <c r="K294">
        <v>6</v>
      </c>
      <c r="L294">
        <v>6</v>
      </c>
      <c r="M294">
        <v>0</v>
      </c>
    </row>
    <row r="295" spans="1:13" x14ac:dyDescent="0.25">
      <c r="A295">
        <v>15</v>
      </c>
      <c r="B295" t="s">
        <v>37</v>
      </c>
      <c r="C295">
        <v>1.8</v>
      </c>
      <c r="D295" t="s">
        <v>35</v>
      </c>
      <c r="E295">
        <v>8</v>
      </c>
      <c r="F295">
        <v>2.8</v>
      </c>
      <c r="G295">
        <v>3.49</v>
      </c>
      <c r="H295">
        <v>0.6</v>
      </c>
      <c r="I295" t="s">
        <v>36</v>
      </c>
      <c r="J295">
        <v>9</v>
      </c>
      <c r="K295">
        <v>8</v>
      </c>
      <c r="L295">
        <v>8</v>
      </c>
      <c r="M295">
        <v>0</v>
      </c>
    </row>
    <row r="296" spans="1:13" x14ac:dyDescent="0.25">
      <c r="A296">
        <v>17</v>
      </c>
      <c r="B296" t="s">
        <v>37</v>
      </c>
      <c r="C296">
        <v>3.7</v>
      </c>
      <c r="D296" t="s">
        <v>38</v>
      </c>
      <c r="E296">
        <v>5.3</v>
      </c>
      <c r="F296">
        <v>0.7</v>
      </c>
      <c r="G296">
        <v>2.09</v>
      </c>
      <c r="H296">
        <v>0.8</v>
      </c>
      <c r="I296" t="s">
        <v>39</v>
      </c>
      <c r="J296">
        <v>8</v>
      </c>
      <c r="K296">
        <v>8</v>
      </c>
      <c r="L296">
        <v>10</v>
      </c>
      <c r="M296">
        <v>0</v>
      </c>
    </row>
    <row r="297" spans="1:13" x14ac:dyDescent="0.25">
      <c r="A297">
        <v>13</v>
      </c>
      <c r="B297" t="s">
        <v>34</v>
      </c>
      <c r="C297">
        <v>6.4</v>
      </c>
      <c r="D297" t="s">
        <v>41</v>
      </c>
      <c r="E297">
        <v>8.3000000000000007</v>
      </c>
      <c r="F297">
        <v>1.3</v>
      </c>
      <c r="G297">
        <v>2.21</v>
      </c>
      <c r="H297">
        <v>1.2</v>
      </c>
      <c r="I297" t="s">
        <v>39</v>
      </c>
      <c r="J297">
        <v>4</v>
      </c>
      <c r="K297">
        <v>5</v>
      </c>
      <c r="L297">
        <v>9</v>
      </c>
      <c r="M297">
        <v>0</v>
      </c>
    </row>
    <row r="298" spans="1:13" x14ac:dyDescent="0.25">
      <c r="A298">
        <v>19</v>
      </c>
      <c r="B298" t="s">
        <v>34</v>
      </c>
      <c r="C298">
        <v>6.4</v>
      </c>
      <c r="D298" t="s">
        <v>41</v>
      </c>
      <c r="E298">
        <v>6.7</v>
      </c>
      <c r="F298">
        <v>2.4</v>
      </c>
      <c r="G298">
        <v>2.2000000000000002</v>
      </c>
      <c r="H298">
        <v>1.3</v>
      </c>
      <c r="I298" t="s">
        <v>36</v>
      </c>
      <c r="J298">
        <v>5</v>
      </c>
      <c r="K298">
        <v>2</v>
      </c>
      <c r="L298">
        <v>2</v>
      </c>
      <c r="M298">
        <v>0</v>
      </c>
    </row>
    <row r="299" spans="1:13" x14ac:dyDescent="0.25">
      <c r="A299">
        <v>17</v>
      </c>
      <c r="B299" t="s">
        <v>37</v>
      </c>
      <c r="C299">
        <v>1.1000000000000001</v>
      </c>
      <c r="D299" t="s">
        <v>35</v>
      </c>
      <c r="E299">
        <v>9</v>
      </c>
      <c r="F299">
        <v>2.9</v>
      </c>
      <c r="G299">
        <v>2.74</v>
      </c>
      <c r="H299">
        <v>1</v>
      </c>
      <c r="I299" t="s">
        <v>40</v>
      </c>
      <c r="J299">
        <v>2</v>
      </c>
      <c r="K299">
        <v>8</v>
      </c>
      <c r="L299">
        <v>2</v>
      </c>
      <c r="M299">
        <v>0</v>
      </c>
    </row>
    <row r="300" spans="1:13" x14ac:dyDescent="0.25">
      <c r="A300">
        <v>13</v>
      </c>
      <c r="B300" t="s">
        <v>34</v>
      </c>
      <c r="C300">
        <v>1.3</v>
      </c>
      <c r="D300" t="s">
        <v>38</v>
      </c>
      <c r="E300">
        <v>7.8</v>
      </c>
      <c r="F300">
        <v>2.6</v>
      </c>
      <c r="G300">
        <v>3.01</v>
      </c>
      <c r="H300">
        <v>0.3</v>
      </c>
      <c r="I300" t="s">
        <v>36</v>
      </c>
      <c r="J300">
        <v>2</v>
      </c>
      <c r="K300">
        <v>9</v>
      </c>
      <c r="L300">
        <v>10</v>
      </c>
      <c r="M300">
        <v>0</v>
      </c>
    </row>
    <row r="301" spans="1:13" x14ac:dyDescent="0.25">
      <c r="A301">
        <v>17</v>
      </c>
      <c r="B301" t="s">
        <v>37</v>
      </c>
      <c r="C301">
        <v>4.4000000000000004</v>
      </c>
      <c r="D301" t="s">
        <v>35</v>
      </c>
      <c r="E301">
        <v>6</v>
      </c>
      <c r="F301">
        <v>1.2</v>
      </c>
      <c r="G301">
        <v>2.48</v>
      </c>
      <c r="H301">
        <v>0.9</v>
      </c>
      <c r="I301" t="s">
        <v>40</v>
      </c>
      <c r="J301">
        <v>6</v>
      </c>
      <c r="K301">
        <v>2</v>
      </c>
      <c r="L301">
        <v>6</v>
      </c>
      <c r="M301">
        <v>0</v>
      </c>
    </row>
    <row r="302" spans="1:13" x14ac:dyDescent="0.25">
      <c r="A302">
        <v>13</v>
      </c>
      <c r="B302" t="s">
        <v>34</v>
      </c>
      <c r="C302">
        <v>7.8</v>
      </c>
      <c r="D302" t="s">
        <v>35</v>
      </c>
      <c r="E302">
        <v>5</v>
      </c>
      <c r="F302">
        <v>1.8</v>
      </c>
      <c r="G302">
        <v>3.57</v>
      </c>
      <c r="H302">
        <v>1.5</v>
      </c>
      <c r="I302" t="s">
        <v>40</v>
      </c>
      <c r="J302">
        <v>8</v>
      </c>
      <c r="K302">
        <v>10</v>
      </c>
      <c r="L302">
        <v>3</v>
      </c>
      <c r="M302">
        <v>1</v>
      </c>
    </row>
    <row r="303" spans="1:13" x14ac:dyDescent="0.25">
      <c r="A303">
        <v>14</v>
      </c>
      <c r="B303" t="s">
        <v>37</v>
      </c>
      <c r="C303">
        <v>6.9</v>
      </c>
      <c r="D303" t="s">
        <v>38</v>
      </c>
      <c r="E303">
        <v>6.4</v>
      </c>
      <c r="F303">
        <v>0.9</v>
      </c>
      <c r="G303">
        <v>2.04</v>
      </c>
      <c r="H303">
        <v>1.3</v>
      </c>
      <c r="I303" t="s">
        <v>40</v>
      </c>
      <c r="J303">
        <v>5</v>
      </c>
      <c r="K303">
        <v>5</v>
      </c>
      <c r="L303">
        <v>9</v>
      </c>
      <c r="M303">
        <v>0</v>
      </c>
    </row>
    <row r="304" spans="1:13" x14ac:dyDescent="0.25">
      <c r="A304">
        <v>14</v>
      </c>
      <c r="B304" t="s">
        <v>37</v>
      </c>
      <c r="C304">
        <v>4.8</v>
      </c>
      <c r="D304" t="s">
        <v>35</v>
      </c>
      <c r="E304">
        <v>6.8</v>
      </c>
      <c r="F304">
        <v>0.8</v>
      </c>
      <c r="G304">
        <v>3</v>
      </c>
      <c r="H304">
        <v>0.9</v>
      </c>
      <c r="I304" t="s">
        <v>36</v>
      </c>
      <c r="J304">
        <v>4</v>
      </c>
      <c r="K304">
        <v>3</v>
      </c>
      <c r="L304">
        <v>4</v>
      </c>
      <c r="M304">
        <v>0</v>
      </c>
    </row>
    <row r="305" spans="1:13" x14ac:dyDescent="0.25">
      <c r="A305">
        <v>13</v>
      </c>
      <c r="B305" t="s">
        <v>34</v>
      </c>
      <c r="C305">
        <v>7.5</v>
      </c>
      <c r="D305" t="s">
        <v>35</v>
      </c>
      <c r="E305">
        <v>8.6</v>
      </c>
      <c r="F305">
        <v>1.9</v>
      </c>
      <c r="G305">
        <v>3.33</v>
      </c>
      <c r="H305">
        <v>0.9</v>
      </c>
      <c r="I305" t="s">
        <v>40</v>
      </c>
      <c r="J305">
        <v>7</v>
      </c>
      <c r="K305">
        <v>3</v>
      </c>
      <c r="L305">
        <v>10</v>
      </c>
      <c r="M305">
        <v>0</v>
      </c>
    </row>
    <row r="306" spans="1:13" x14ac:dyDescent="0.25">
      <c r="A306">
        <v>15</v>
      </c>
      <c r="B306" t="s">
        <v>37</v>
      </c>
      <c r="C306">
        <v>6.7</v>
      </c>
      <c r="D306" t="s">
        <v>35</v>
      </c>
      <c r="E306">
        <v>7</v>
      </c>
      <c r="F306">
        <v>2.2000000000000002</v>
      </c>
      <c r="G306">
        <v>2.61</v>
      </c>
      <c r="H306">
        <v>0.7</v>
      </c>
      <c r="I306" t="s">
        <v>39</v>
      </c>
      <c r="J306">
        <v>2</v>
      </c>
      <c r="K306">
        <v>7</v>
      </c>
      <c r="L306">
        <v>8</v>
      </c>
      <c r="M306">
        <v>0</v>
      </c>
    </row>
    <row r="307" spans="1:13" x14ac:dyDescent="0.25">
      <c r="A307">
        <v>14</v>
      </c>
      <c r="B307" t="s">
        <v>34</v>
      </c>
      <c r="C307">
        <v>3.8</v>
      </c>
      <c r="D307" t="s">
        <v>35</v>
      </c>
      <c r="E307">
        <v>4.8</v>
      </c>
      <c r="F307">
        <v>1.9</v>
      </c>
      <c r="G307">
        <v>3.97</v>
      </c>
      <c r="H307">
        <v>0.2</v>
      </c>
      <c r="I307" t="s">
        <v>39</v>
      </c>
      <c r="J307">
        <v>4</v>
      </c>
      <c r="K307">
        <v>6</v>
      </c>
      <c r="L307">
        <v>6</v>
      </c>
      <c r="M307">
        <v>0</v>
      </c>
    </row>
    <row r="308" spans="1:13" x14ac:dyDescent="0.25">
      <c r="A308">
        <v>15</v>
      </c>
      <c r="B308" t="s">
        <v>34</v>
      </c>
      <c r="C308">
        <v>3</v>
      </c>
      <c r="D308" t="s">
        <v>35</v>
      </c>
      <c r="E308">
        <v>8.6</v>
      </c>
      <c r="F308">
        <v>1.5</v>
      </c>
      <c r="G308">
        <v>3.27</v>
      </c>
      <c r="H308">
        <v>0.8</v>
      </c>
      <c r="I308" t="s">
        <v>40</v>
      </c>
      <c r="J308">
        <v>10</v>
      </c>
      <c r="K308">
        <v>10</v>
      </c>
      <c r="L308">
        <v>4</v>
      </c>
      <c r="M308">
        <v>0</v>
      </c>
    </row>
    <row r="309" spans="1:13" x14ac:dyDescent="0.25">
      <c r="A309">
        <v>17</v>
      </c>
      <c r="B309" t="s">
        <v>34</v>
      </c>
      <c r="C309">
        <v>7.8</v>
      </c>
      <c r="D309" t="s">
        <v>38</v>
      </c>
      <c r="E309">
        <v>7.1</v>
      </c>
      <c r="F309">
        <v>0.8</v>
      </c>
      <c r="G309">
        <v>2.79</v>
      </c>
      <c r="H309">
        <v>1.4</v>
      </c>
      <c r="I309" t="s">
        <v>40</v>
      </c>
      <c r="J309">
        <v>9</v>
      </c>
      <c r="K309">
        <v>4</v>
      </c>
      <c r="L309">
        <v>2</v>
      </c>
      <c r="M309">
        <v>0</v>
      </c>
    </row>
    <row r="310" spans="1:13" x14ac:dyDescent="0.25">
      <c r="A310">
        <v>14</v>
      </c>
      <c r="B310" t="s">
        <v>37</v>
      </c>
      <c r="C310">
        <v>7.8</v>
      </c>
      <c r="D310" t="s">
        <v>35</v>
      </c>
      <c r="E310">
        <v>4.3</v>
      </c>
      <c r="F310">
        <v>2.6</v>
      </c>
      <c r="G310">
        <v>3.33</v>
      </c>
      <c r="H310">
        <v>2</v>
      </c>
      <c r="I310" t="s">
        <v>39</v>
      </c>
      <c r="J310">
        <v>3</v>
      </c>
      <c r="K310">
        <v>7</v>
      </c>
      <c r="L310">
        <v>3</v>
      </c>
      <c r="M310">
        <v>0</v>
      </c>
    </row>
    <row r="311" spans="1:13" x14ac:dyDescent="0.25">
      <c r="A311">
        <v>15</v>
      </c>
      <c r="B311" t="s">
        <v>37</v>
      </c>
      <c r="C311">
        <v>6.6</v>
      </c>
      <c r="D311" t="s">
        <v>38</v>
      </c>
      <c r="E311">
        <v>9</v>
      </c>
      <c r="F311">
        <v>1.5</v>
      </c>
      <c r="G311">
        <v>3.04</v>
      </c>
      <c r="H311">
        <v>1.5</v>
      </c>
      <c r="I311" t="s">
        <v>36</v>
      </c>
      <c r="J311">
        <v>4</v>
      </c>
      <c r="K311">
        <v>2</v>
      </c>
      <c r="L311">
        <v>7</v>
      </c>
      <c r="M311">
        <v>0</v>
      </c>
    </row>
    <row r="312" spans="1:13" x14ac:dyDescent="0.25">
      <c r="A312">
        <v>13</v>
      </c>
      <c r="B312" t="s">
        <v>37</v>
      </c>
      <c r="C312">
        <v>7.3</v>
      </c>
      <c r="D312" t="s">
        <v>35</v>
      </c>
      <c r="E312">
        <v>6.4</v>
      </c>
      <c r="F312">
        <v>2.2999999999999998</v>
      </c>
      <c r="G312">
        <v>2.5299999999999998</v>
      </c>
      <c r="H312">
        <v>0.7</v>
      </c>
      <c r="I312" t="s">
        <v>36</v>
      </c>
      <c r="J312">
        <v>9</v>
      </c>
      <c r="K312">
        <v>9</v>
      </c>
      <c r="L312">
        <v>4</v>
      </c>
      <c r="M312">
        <v>0</v>
      </c>
    </row>
    <row r="313" spans="1:13" x14ac:dyDescent="0.25">
      <c r="A313">
        <v>19</v>
      </c>
      <c r="B313" t="s">
        <v>34</v>
      </c>
      <c r="C313">
        <v>6.6</v>
      </c>
      <c r="D313" t="s">
        <v>35</v>
      </c>
      <c r="E313">
        <v>4.4000000000000004</v>
      </c>
      <c r="F313">
        <v>1.1000000000000001</v>
      </c>
      <c r="G313">
        <v>2.29</v>
      </c>
      <c r="H313">
        <v>1</v>
      </c>
      <c r="I313" t="s">
        <v>36</v>
      </c>
      <c r="J313">
        <v>6</v>
      </c>
      <c r="K313">
        <v>8</v>
      </c>
      <c r="L313">
        <v>5</v>
      </c>
      <c r="M313">
        <v>0</v>
      </c>
    </row>
    <row r="314" spans="1:13" x14ac:dyDescent="0.25">
      <c r="A314">
        <v>19</v>
      </c>
      <c r="B314" t="s">
        <v>37</v>
      </c>
      <c r="C314">
        <v>5.6</v>
      </c>
      <c r="D314" t="s">
        <v>38</v>
      </c>
      <c r="E314">
        <v>8.1</v>
      </c>
      <c r="F314">
        <v>3</v>
      </c>
      <c r="G314">
        <v>2.75</v>
      </c>
      <c r="H314">
        <v>0.7</v>
      </c>
      <c r="I314" t="s">
        <v>40</v>
      </c>
      <c r="J314">
        <v>6</v>
      </c>
      <c r="K314">
        <v>3</v>
      </c>
      <c r="L314">
        <v>4</v>
      </c>
      <c r="M314">
        <v>0</v>
      </c>
    </row>
    <row r="315" spans="1:13" x14ac:dyDescent="0.25">
      <c r="A315">
        <v>13</v>
      </c>
      <c r="B315" t="s">
        <v>37</v>
      </c>
      <c r="C315">
        <v>8</v>
      </c>
      <c r="D315" t="s">
        <v>35</v>
      </c>
      <c r="E315">
        <v>5.4</v>
      </c>
      <c r="F315">
        <v>2.8</v>
      </c>
      <c r="G315">
        <v>3.1</v>
      </c>
      <c r="H315">
        <v>1.9</v>
      </c>
      <c r="I315" t="s">
        <v>39</v>
      </c>
      <c r="J315">
        <v>6</v>
      </c>
      <c r="K315">
        <v>10</v>
      </c>
      <c r="L315">
        <v>10</v>
      </c>
      <c r="M315">
        <v>0</v>
      </c>
    </row>
    <row r="316" spans="1:13" x14ac:dyDescent="0.25">
      <c r="A316">
        <v>13</v>
      </c>
      <c r="B316" t="s">
        <v>37</v>
      </c>
      <c r="C316">
        <v>1.3</v>
      </c>
      <c r="D316" t="s">
        <v>35</v>
      </c>
      <c r="E316">
        <v>8.9</v>
      </c>
      <c r="F316">
        <v>2.6</v>
      </c>
      <c r="G316">
        <v>3.54</v>
      </c>
      <c r="H316">
        <v>1.2</v>
      </c>
      <c r="I316" t="s">
        <v>39</v>
      </c>
      <c r="J316">
        <v>8</v>
      </c>
      <c r="K316">
        <v>5</v>
      </c>
      <c r="L316">
        <v>2</v>
      </c>
      <c r="M316">
        <v>0</v>
      </c>
    </row>
    <row r="317" spans="1:13" x14ac:dyDescent="0.25">
      <c r="A317">
        <v>15</v>
      </c>
      <c r="B317" t="s">
        <v>37</v>
      </c>
      <c r="C317">
        <v>5.9</v>
      </c>
      <c r="D317" t="s">
        <v>41</v>
      </c>
      <c r="E317">
        <v>6.9</v>
      </c>
      <c r="F317">
        <v>1.4</v>
      </c>
      <c r="G317">
        <v>3.62</v>
      </c>
      <c r="H317">
        <v>1.5</v>
      </c>
      <c r="I317" t="s">
        <v>40</v>
      </c>
      <c r="J317">
        <v>3</v>
      </c>
      <c r="K317">
        <v>9</v>
      </c>
      <c r="L317">
        <v>1</v>
      </c>
      <c r="M317">
        <v>0</v>
      </c>
    </row>
    <row r="318" spans="1:13" x14ac:dyDescent="0.25">
      <c r="A318">
        <v>14</v>
      </c>
      <c r="B318" t="s">
        <v>37</v>
      </c>
      <c r="C318">
        <v>2</v>
      </c>
      <c r="D318" t="s">
        <v>35</v>
      </c>
      <c r="E318">
        <v>8.8000000000000007</v>
      </c>
      <c r="F318">
        <v>0.9</v>
      </c>
      <c r="G318">
        <v>3.61</v>
      </c>
      <c r="H318">
        <v>0.7</v>
      </c>
      <c r="I318" t="s">
        <v>39</v>
      </c>
      <c r="J318">
        <v>10</v>
      </c>
      <c r="K318">
        <v>2</v>
      </c>
      <c r="L318">
        <v>3</v>
      </c>
      <c r="M318">
        <v>0</v>
      </c>
    </row>
    <row r="319" spans="1:13" x14ac:dyDescent="0.25">
      <c r="A319">
        <v>19</v>
      </c>
      <c r="B319" t="s">
        <v>37</v>
      </c>
      <c r="C319">
        <v>1.4</v>
      </c>
      <c r="D319" t="s">
        <v>35</v>
      </c>
      <c r="E319">
        <v>6.6</v>
      </c>
      <c r="F319">
        <v>1.8</v>
      </c>
      <c r="G319">
        <v>3.07</v>
      </c>
      <c r="H319">
        <v>0</v>
      </c>
      <c r="I319" t="s">
        <v>36</v>
      </c>
      <c r="J319">
        <v>5</v>
      </c>
      <c r="K319">
        <v>2</v>
      </c>
      <c r="L319">
        <v>6</v>
      </c>
      <c r="M319">
        <v>0</v>
      </c>
    </row>
    <row r="320" spans="1:13" x14ac:dyDescent="0.25">
      <c r="A320">
        <v>13</v>
      </c>
      <c r="B320" t="s">
        <v>37</v>
      </c>
      <c r="C320">
        <v>6.4</v>
      </c>
      <c r="D320" t="s">
        <v>41</v>
      </c>
      <c r="E320">
        <v>6.7</v>
      </c>
      <c r="F320">
        <v>0.8</v>
      </c>
      <c r="G320">
        <v>3.9</v>
      </c>
      <c r="H320">
        <v>1.9</v>
      </c>
      <c r="I320" t="s">
        <v>39</v>
      </c>
      <c r="J320">
        <v>3</v>
      </c>
      <c r="K320">
        <v>3</v>
      </c>
      <c r="L320">
        <v>10</v>
      </c>
      <c r="M320">
        <v>0</v>
      </c>
    </row>
    <row r="321" spans="1:13" x14ac:dyDescent="0.25">
      <c r="A321">
        <v>15</v>
      </c>
      <c r="B321" t="s">
        <v>34</v>
      </c>
      <c r="C321">
        <v>7.6</v>
      </c>
      <c r="D321" t="s">
        <v>38</v>
      </c>
      <c r="E321">
        <v>7.9</v>
      </c>
      <c r="F321">
        <v>0.8</v>
      </c>
      <c r="G321">
        <v>3.55</v>
      </c>
      <c r="H321">
        <v>1.9</v>
      </c>
      <c r="I321" t="s">
        <v>39</v>
      </c>
      <c r="J321">
        <v>10</v>
      </c>
      <c r="K321">
        <v>8</v>
      </c>
      <c r="L321">
        <v>6</v>
      </c>
      <c r="M321">
        <v>0</v>
      </c>
    </row>
    <row r="322" spans="1:13" x14ac:dyDescent="0.25">
      <c r="A322">
        <v>16</v>
      </c>
      <c r="B322" t="s">
        <v>34</v>
      </c>
      <c r="C322">
        <v>7.9</v>
      </c>
      <c r="D322" t="s">
        <v>41</v>
      </c>
      <c r="E322">
        <v>5.5</v>
      </c>
      <c r="F322">
        <v>0.6</v>
      </c>
      <c r="G322">
        <v>3.65</v>
      </c>
      <c r="H322">
        <v>1.4</v>
      </c>
      <c r="I322" t="s">
        <v>36</v>
      </c>
      <c r="J322">
        <v>1</v>
      </c>
      <c r="K322">
        <v>4</v>
      </c>
      <c r="L322">
        <v>1</v>
      </c>
      <c r="M322">
        <v>0</v>
      </c>
    </row>
    <row r="323" spans="1:13" x14ac:dyDescent="0.25">
      <c r="A323">
        <v>15</v>
      </c>
      <c r="B323" t="s">
        <v>34</v>
      </c>
      <c r="C323">
        <v>5.0999999999999996</v>
      </c>
      <c r="D323" t="s">
        <v>35</v>
      </c>
      <c r="E323">
        <v>4.0999999999999996</v>
      </c>
      <c r="F323">
        <v>2.8</v>
      </c>
      <c r="G323">
        <v>3.79</v>
      </c>
      <c r="H323">
        <v>0.8</v>
      </c>
      <c r="I323" t="s">
        <v>40</v>
      </c>
      <c r="J323">
        <v>9</v>
      </c>
      <c r="K323">
        <v>7</v>
      </c>
      <c r="L323">
        <v>3</v>
      </c>
      <c r="M323">
        <v>1</v>
      </c>
    </row>
    <row r="324" spans="1:13" x14ac:dyDescent="0.25">
      <c r="A324">
        <v>18</v>
      </c>
      <c r="B324" t="s">
        <v>34</v>
      </c>
      <c r="C324">
        <v>6.4</v>
      </c>
      <c r="D324" t="s">
        <v>38</v>
      </c>
      <c r="E324">
        <v>7.4</v>
      </c>
      <c r="F324">
        <v>1.5</v>
      </c>
      <c r="G324">
        <v>2.92</v>
      </c>
      <c r="H324">
        <v>0.6</v>
      </c>
      <c r="I324" t="s">
        <v>36</v>
      </c>
      <c r="J324">
        <v>9</v>
      </c>
      <c r="K324">
        <v>2</v>
      </c>
      <c r="L324">
        <v>5</v>
      </c>
      <c r="M324">
        <v>0</v>
      </c>
    </row>
    <row r="325" spans="1:13" x14ac:dyDescent="0.25">
      <c r="A325">
        <v>13</v>
      </c>
      <c r="B325" t="s">
        <v>37</v>
      </c>
      <c r="C325">
        <v>7.2</v>
      </c>
      <c r="D325" t="s">
        <v>41</v>
      </c>
      <c r="E325">
        <v>6.7</v>
      </c>
      <c r="F325">
        <v>0.9</v>
      </c>
      <c r="G325">
        <v>2.36</v>
      </c>
      <c r="H325">
        <v>0.6</v>
      </c>
      <c r="I325" t="s">
        <v>36</v>
      </c>
      <c r="J325">
        <v>8</v>
      </c>
      <c r="K325">
        <v>8</v>
      </c>
      <c r="L325">
        <v>1</v>
      </c>
      <c r="M325">
        <v>0</v>
      </c>
    </row>
    <row r="326" spans="1:13" x14ac:dyDescent="0.25">
      <c r="A326">
        <v>18</v>
      </c>
      <c r="B326" t="s">
        <v>37</v>
      </c>
      <c r="C326">
        <v>2.9</v>
      </c>
      <c r="D326" t="s">
        <v>41</v>
      </c>
      <c r="E326">
        <v>4.5999999999999996</v>
      </c>
      <c r="F326">
        <v>2.2999999999999998</v>
      </c>
      <c r="G326">
        <v>3.03</v>
      </c>
      <c r="H326">
        <v>0.3</v>
      </c>
      <c r="I326" t="s">
        <v>36</v>
      </c>
      <c r="J326">
        <v>6</v>
      </c>
      <c r="K326">
        <v>1</v>
      </c>
      <c r="L326">
        <v>9</v>
      </c>
      <c r="M326">
        <v>0</v>
      </c>
    </row>
    <row r="327" spans="1:13" x14ac:dyDescent="0.25">
      <c r="A327">
        <v>19</v>
      </c>
      <c r="B327" t="s">
        <v>34</v>
      </c>
      <c r="C327">
        <v>1.5</v>
      </c>
      <c r="D327" t="s">
        <v>35</v>
      </c>
      <c r="E327">
        <v>7.3</v>
      </c>
      <c r="F327">
        <v>2.7</v>
      </c>
      <c r="G327">
        <v>2.61</v>
      </c>
      <c r="H327">
        <v>0.9</v>
      </c>
      <c r="I327" t="s">
        <v>36</v>
      </c>
      <c r="J327">
        <v>5</v>
      </c>
      <c r="K327">
        <v>7</v>
      </c>
      <c r="L327">
        <v>10</v>
      </c>
      <c r="M327">
        <v>0</v>
      </c>
    </row>
    <row r="328" spans="1:13" x14ac:dyDescent="0.25">
      <c r="A328">
        <v>14</v>
      </c>
      <c r="B328" t="s">
        <v>34</v>
      </c>
      <c r="C328">
        <v>5.4</v>
      </c>
      <c r="D328" t="s">
        <v>41</v>
      </c>
      <c r="E328">
        <v>8.1</v>
      </c>
      <c r="F328">
        <v>1.8</v>
      </c>
      <c r="G328">
        <v>2.5299999999999998</v>
      </c>
      <c r="H328">
        <v>0.9</v>
      </c>
      <c r="I328" t="s">
        <v>40</v>
      </c>
      <c r="J328">
        <v>5</v>
      </c>
      <c r="K328">
        <v>8</v>
      </c>
      <c r="L328">
        <v>8</v>
      </c>
      <c r="M328">
        <v>0</v>
      </c>
    </row>
    <row r="329" spans="1:13" x14ac:dyDescent="0.25">
      <c r="A329">
        <v>13</v>
      </c>
      <c r="B329" t="s">
        <v>34</v>
      </c>
      <c r="C329">
        <v>7.2</v>
      </c>
      <c r="D329" t="s">
        <v>38</v>
      </c>
      <c r="E329">
        <v>4.0999999999999996</v>
      </c>
      <c r="F329">
        <v>1.3</v>
      </c>
      <c r="G329">
        <v>2.4900000000000002</v>
      </c>
      <c r="H329">
        <v>1.8</v>
      </c>
      <c r="I329" t="s">
        <v>40</v>
      </c>
      <c r="J329">
        <v>5</v>
      </c>
      <c r="K329">
        <v>5</v>
      </c>
      <c r="L329">
        <v>4</v>
      </c>
      <c r="M329">
        <v>0</v>
      </c>
    </row>
    <row r="330" spans="1:13" x14ac:dyDescent="0.25">
      <c r="A330">
        <v>15</v>
      </c>
      <c r="B330" t="s">
        <v>37</v>
      </c>
      <c r="C330">
        <v>7</v>
      </c>
      <c r="D330" t="s">
        <v>35</v>
      </c>
      <c r="E330">
        <v>5.9</v>
      </c>
      <c r="F330">
        <v>1.3</v>
      </c>
      <c r="G330">
        <v>2.91</v>
      </c>
      <c r="H330">
        <v>1.2</v>
      </c>
      <c r="I330" t="s">
        <v>36</v>
      </c>
      <c r="J330">
        <v>10</v>
      </c>
      <c r="K330">
        <v>2</v>
      </c>
      <c r="L330">
        <v>6</v>
      </c>
      <c r="M330">
        <v>0</v>
      </c>
    </row>
    <row r="331" spans="1:13" x14ac:dyDescent="0.25">
      <c r="A331">
        <v>17</v>
      </c>
      <c r="B331" t="s">
        <v>37</v>
      </c>
      <c r="C331">
        <v>7.5</v>
      </c>
      <c r="D331" t="s">
        <v>38</v>
      </c>
      <c r="E331">
        <v>6.7</v>
      </c>
      <c r="F331">
        <v>1.1000000000000001</v>
      </c>
      <c r="G331">
        <v>3.77</v>
      </c>
      <c r="H331">
        <v>0.6</v>
      </c>
      <c r="I331" t="s">
        <v>39</v>
      </c>
      <c r="J331">
        <v>3</v>
      </c>
      <c r="K331">
        <v>8</v>
      </c>
      <c r="L331">
        <v>6</v>
      </c>
      <c r="M331">
        <v>0</v>
      </c>
    </row>
    <row r="332" spans="1:13" x14ac:dyDescent="0.25">
      <c r="A332">
        <v>14</v>
      </c>
      <c r="B332" t="s">
        <v>34</v>
      </c>
      <c r="C332">
        <v>1.4</v>
      </c>
      <c r="D332" t="s">
        <v>41</v>
      </c>
      <c r="E332">
        <v>7</v>
      </c>
      <c r="F332">
        <v>1.8</v>
      </c>
      <c r="G332">
        <v>2.69</v>
      </c>
      <c r="H332">
        <v>0.9</v>
      </c>
      <c r="I332" t="s">
        <v>36</v>
      </c>
      <c r="J332">
        <v>10</v>
      </c>
      <c r="K332">
        <v>4</v>
      </c>
      <c r="L332">
        <v>2</v>
      </c>
      <c r="M332">
        <v>0</v>
      </c>
    </row>
    <row r="333" spans="1:13" x14ac:dyDescent="0.25">
      <c r="A333">
        <v>16</v>
      </c>
      <c r="B333" t="s">
        <v>37</v>
      </c>
      <c r="C333">
        <v>6.1</v>
      </c>
      <c r="D333" t="s">
        <v>35</v>
      </c>
      <c r="E333">
        <v>8.1</v>
      </c>
      <c r="F333">
        <v>1.4</v>
      </c>
      <c r="G333">
        <v>3.27</v>
      </c>
      <c r="H333">
        <v>1.6</v>
      </c>
      <c r="I333" t="s">
        <v>36</v>
      </c>
      <c r="J333">
        <v>10</v>
      </c>
      <c r="K333">
        <v>1</v>
      </c>
      <c r="L333">
        <v>4</v>
      </c>
      <c r="M333">
        <v>0</v>
      </c>
    </row>
    <row r="334" spans="1:13" x14ac:dyDescent="0.25">
      <c r="A334">
        <v>16</v>
      </c>
      <c r="B334" t="s">
        <v>37</v>
      </c>
      <c r="C334">
        <v>1.4</v>
      </c>
      <c r="D334" t="s">
        <v>41</v>
      </c>
      <c r="E334">
        <v>5.2</v>
      </c>
      <c r="F334">
        <v>1.7</v>
      </c>
      <c r="G334">
        <v>3.82</v>
      </c>
      <c r="H334">
        <v>0.7</v>
      </c>
      <c r="I334" t="s">
        <v>36</v>
      </c>
      <c r="J334">
        <v>10</v>
      </c>
      <c r="K334">
        <v>4</v>
      </c>
      <c r="L334">
        <v>3</v>
      </c>
      <c r="M334">
        <v>0</v>
      </c>
    </row>
    <row r="335" spans="1:13" x14ac:dyDescent="0.25">
      <c r="A335">
        <v>13</v>
      </c>
      <c r="B335" t="s">
        <v>34</v>
      </c>
      <c r="C335">
        <v>5.4</v>
      </c>
      <c r="D335" t="s">
        <v>35</v>
      </c>
      <c r="E335">
        <v>4.0999999999999996</v>
      </c>
      <c r="F335">
        <v>2</v>
      </c>
      <c r="G335">
        <v>3.82</v>
      </c>
      <c r="H335">
        <v>1.9</v>
      </c>
      <c r="I335" t="s">
        <v>40</v>
      </c>
      <c r="J335">
        <v>6</v>
      </c>
      <c r="K335">
        <v>10</v>
      </c>
      <c r="L335">
        <v>8</v>
      </c>
      <c r="M335">
        <v>0</v>
      </c>
    </row>
    <row r="336" spans="1:13" x14ac:dyDescent="0.25">
      <c r="A336">
        <v>13</v>
      </c>
      <c r="B336" t="s">
        <v>37</v>
      </c>
      <c r="C336">
        <v>2.1</v>
      </c>
      <c r="D336" t="s">
        <v>35</v>
      </c>
      <c r="E336">
        <v>8.1999999999999993</v>
      </c>
      <c r="F336">
        <v>0.9</v>
      </c>
      <c r="G336">
        <v>2.48</v>
      </c>
      <c r="H336">
        <v>0.5</v>
      </c>
      <c r="I336" t="s">
        <v>39</v>
      </c>
      <c r="J336">
        <v>2</v>
      </c>
      <c r="K336">
        <v>7</v>
      </c>
      <c r="L336">
        <v>6</v>
      </c>
      <c r="M336">
        <v>0</v>
      </c>
    </row>
    <row r="337" spans="1:13" x14ac:dyDescent="0.25">
      <c r="A337">
        <v>14</v>
      </c>
      <c r="B337" t="s">
        <v>34</v>
      </c>
      <c r="C337">
        <v>5</v>
      </c>
      <c r="D337" t="s">
        <v>41</v>
      </c>
      <c r="E337">
        <v>4.3</v>
      </c>
      <c r="F337">
        <v>1.1000000000000001</v>
      </c>
      <c r="G337">
        <v>3.8</v>
      </c>
      <c r="H337">
        <v>0.4</v>
      </c>
      <c r="I337" t="s">
        <v>40</v>
      </c>
      <c r="J337">
        <v>9</v>
      </c>
      <c r="K337">
        <v>4</v>
      </c>
      <c r="L337">
        <v>10</v>
      </c>
      <c r="M337">
        <v>0</v>
      </c>
    </row>
    <row r="338" spans="1:13" x14ac:dyDescent="0.25">
      <c r="A338">
        <v>13</v>
      </c>
      <c r="B338" t="s">
        <v>37</v>
      </c>
      <c r="C338">
        <v>4.4000000000000004</v>
      </c>
      <c r="D338" t="s">
        <v>35</v>
      </c>
      <c r="E338">
        <v>4.3</v>
      </c>
      <c r="F338">
        <v>1.9</v>
      </c>
      <c r="G338">
        <v>3.51</v>
      </c>
      <c r="H338">
        <v>0.9</v>
      </c>
      <c r="I338" t="s">
        <v>40</v>
      </c>
      <c r="J338">
        <v>8</v>
      </c>
      <c r="K338">
        <v>4</v>
      </c>
      <c r="L338">
        <v>3</v>
      </c>
      <c r="M338">
        <v>0</v>
      </c>
    </row>
    <row r="339" spans="1:13" x14ac:dyDescent="0.25">
      <c r="A339">
        <v>13</v>
      </c>
      <c r="B339" t="s">
        <v>34</v>
      </c>
      <c r="C339">
        <v>3.4</v>
      </c>
      <c r="D339" t="s">
        <v>41</v>
      </c>
      <c r="E339">
        <v>8.6</v>
      </c>
      <c r="F339">
        <v>0.8</v>
      </c>
      <c r="G339">
        <v>3.08</v>
      </c>
      <c r="H339">
        <v>0.4</v>
      </c>
      <c r="I339" t="s">
        <v>36</v>
      </c>
      <c r="J339">
        <v>7</v>
      </c>
      <c r="K339">
        <v>10</v>
      </c>
      <c r="L339">
        <v>6</v>
      </c>
      <c r="M339">
        <v>0</v>
      </c>
    </row>
    <row r="340" spans="1:13" x14ac:dyDescent="0.25">
      <c r="A340">
        <v>18</v>
      </c>
      <c r="B340" t="s">
        <v>34</v>
      </c>
      <c r="C340">
        <v>1.2</v>
      </c>
      <c r="D340" t="s">
        <v>35</v>
      </c>
      <c r="E340">
        <v>6.4</v>
      </c>
      <c r="F340">
        <v>1.3</v>
      </c>
      <c r="G340">
        <v>3.03</v>
      </c>
      <c r="H340">
        <v>1</v>
      </c>
      <c r="I340" t="s">
        <v>36</v>
      </c>
      <c r="J340">
        <v>5</v>
      </c>
      <c r="K340">
        <v>9</v>
      </c>
      <c r="L340">
        <v>10</v>
      </c>
      <c r="M340">
        <v>0</v>
      </c>
    </row>
    <row r="341" spans="1:13" x14ac:dyDescent="0.25">
      <c r="A341">
        <v>14</v>
      </c>
      <c r="B341" t="s">
        <v>34</v>
      </c>
      <c r="C341">
        <v>5.5</v>
      </c>
      <c r="D341" t="s">
        <v>38</v>
      </c>
      <c r="E341">
        <v>7.3</v>
      </c>
      <c r="F341">
        <v>1.4</v>
      </c>
      <c r="G341">
        <v>2.61</v>
      </c>
      <c r="H341">
        <v>1.2</v>
      </c>
      <c r="I341" t="s">
        <v>39</v>
      </c>
      <c r="J341">
        <v>5</v>
      </c>
      <c r="K341">
        <v>7</v>
      </c>
      <c r="L341">
        <v>1</v>
      </c>
      <c r="M341">
        <v>0</v>
      </c>
    </row>
    <row r="342" spans="1:13" x14ac:dyDescent="0.25">
      <c r="A342">
        <v>15</v>
      </c>
      <c r="B342" t="s">
        <v>34</v>
      </c>
      <c r="C342">
        <v>2.2999999999999998</v>
      </c>
      <c r="D342" t="s">
        <v>41</v>
      </c>
      <c r="E342">
        <v>7.8</v>
      </c>
      <c r="F342">
        <v>3</v>
      </c>
      <c r="G342">
        <v>2.2999999999999998</v>
      </c>
      <c r="H342">
        <v>1.4</v>
      </c>
      <c r="I342" t="s">
        <v>40</v>
      </c>
      <c r="J342">
        <v>4</v>
      </c>
      <c r="K342">
        <v>9</v>
      </c>
      <c r="L342">
        <v>10</v>
      </c>
      <c r="M342">
        <v>0</v>
      </c>
    </row>
    <row r="343" spans="1:13" x14ac:dyDescent="0.25">
      <c r="A343">
        <v>13</v>
      </c>
      <c r="B343" t="s">
        <v>37</v>
      </c>
      <c r="C343">
        <v>1.4</v>
      </c>
      <c r="D343" t="s">
        <v>41</v>
      </c>
      <c r="E343">
        <v>7.4</v>
      </c>
      <c r="F343">
        <v>0.5</v>
      </c>
      <c r="G343">
        <v>2.3199999999999998</v>
      </c>
      <c r="H343">
        <v>1.3</v>
      </c>
      <c r="I343" t="s">
        <v>36</v>
      </c>
      <c r="J343">
        <v>3</v>
      </c>
      <c r="K343">
        <v>2</v>
      </c>
      <c r="L343">
        <v>6</v>
      </c>
      <c r="M343">
        <v>0</v>
      </c>
    </row>
    <row r="344" spans="1:13" x14ac:dyDescent="0.25">
      <c r="A344">
        <v>13</v>
      </c>
      <c r="B344" t="s">
        <v>37</v>
      </c>
      <c r="C344">
        <v>3</v>
      </c>
      <c r="D344" t="s">
        <v>35</v>
      </c>
      <c r="E344">
        <v>7</v>
      </c>
      <c r="F344">
        <v>0.9</v>
      </c>
      <c r="G344">
        <v>2.73</v>
      </c>
      <c r="H344">
        <v>1.7</v>
      </c>
      <c r="I344" t="s">
        <v>39</v>
      </c>
      <c r="J344">
        <v>5</v>
      </c>
      <c r="K344">
        <v>6</v>
      </c>
      <c r="L344">
        <v>9</v>
      </c>
      <c r="M344">
        <v>0</v>
      </c>
    </row>
    <row r="345" spans="1:13" x14ac:dyDescent="0.25">
      <c r="A345">
        <v>14</v>
      </c>
      <c r="B345" t="s">
        <v>34</v>
      </c>
      <c r="C345">
        <v>2.8</v>
      </c>
      <c r="D345" t="s">
        <v>35</v>
      </c>
      <c r="E345">
        <v>5</v>
      </c>
      <c r="F345">
        <v>2.5</v>
      </c>
      <c r="G345">
        <v>3.92</v>
      </c>
      <c r="H345">
        <v>1.8</v>
      </c>
      <c r="I345" t="s">
        <v>39</v>
      </c>
      <c r="J345">
        <v>1</v>
      </c>
      <c r="K345">
        <v>3</v>
      </c>
      <c r="L345">
        <v>4</v>
      </c>
      <c r="M345">
        <v>0</v>
      </c>
    </row>
    <row r="346" spans="1:13" x14ac:dyDescent="0.25">
      <c r="A346">
        <v>14</v>
      </c>
      <c r="B346" t="s">
        <v>34</v>
      </c>
      <c r="C346">
        <v>7</v>
      </c>
      <c r="D346" t="s">
        <v>38</v>
      </c>
      <c r="E346">
        <v>6.9</v>
      </c>
      <c r="F346">
        <v>1</v>
      </c>
      <c r="G346">
        <v>3.93</v>
      </c>
      <c r="H346">
        <v>1.1000000000000001</v>
      </c>
      <c r="I346" t="s">
        <v>39</v>
      </c>
      <c r="J346">
        <v>9</v>
      </c>
      <c r="K346">
        <v>3</v>
      </c>
      <c r="L346">
        <v>7</v>
      </c>
      <c r="M346">
        <v>0</v>
      </c>
    </row>
    <row r="347" spans="1:13" x14ac:dyDescent="0.25">
      <c r="A347">
        <v>13</v>
      </c>
      <c r="B347" t="s">
        <v>37</v>
      </c>
      <c r="C347">
        <v>1.6</v>
      </c>
      <c r="D347" t="s">
        <v>41</v>
      </c>
      <c r="E347">
        <v>8.4</v>
      </c>
      <c r="F347">
        <v>1.4</v>
      </c>
      <c r="G347">
        <v>3.47</v>
      </c>
      <c r="H347">
        <v>0.1</v>
      </c>
      <c r="I347" t="s">
        <v>40</v>
      </c>
      <c r="J347">
        <v>1</v>
      </c>
      <c r="K347">
        <v>6</v>
      </c>
      <c r="L347">
        <v>6</v>
      </c>
      <c r="M347">
        <v>0</v>
      </c>
    </row>
    <row r="348" spans="1:13" x14ac:dyDescent="0.25">
      <c r="A348">
        <v>15</v>
      </c>
      <c r="B348" t="s">
        <v>37</v>
      </c>
      <c r="C348">
        <v>4.2</v>
      </c>
      <c r="D348" t="s">
        <v>35</v>
      </c>
      <c r="E348">
        <v>8.4</v>
      </c>
      <c r="F348">
        <v>1.2</v>
      </c>
      <c r="G348">
        <v>2.61</v>
      </c>
      <c r="H348">
        <v>0</v>
      </c>
      <c r="I348" t="s">
        <v>40</v>
      </c>
      <c r="J348">
        <v>3</v>
      </c>
      <c r="K348">
        <v>10</v>
      </c>
      <c r="L348">
        <v>2</v>
      </c>
      <c r="M348">
        <v>0</v>
      </c>
    </row>
    <row r="349" spans="1:13" x14ac:dyDescent="0.25">
      <c r="A349">
        <v>17</v>
      </c>
      <c r="B349" t="s">
        <v>34</v>
      </c>
      <c r="C349">
        <v>4.9000000000000004</v>
      </c>
      <c r="D349" t="s">
        <v>35</v>
      </c>
      <c r="E349">
        <v>8.6</v>
      </c>
      <c r="F349">
        <v>3</v>
      </c>
      <c r="G349">
        <v>3.62</v>
      </c>
      <c r="H349">
        <v>1.2</v>
      </c>
      <c r="I349" t="s">
        <v>36</v>
      </c>
      <c r="J349">
        <v>6</v>
      </c>
      <c r="K349">
        <v>6</v>
      </c>
      <c r="L349">
        <v>9</v>
      </c>
      <c r="M349">
        <v>0</v>
      </c>
    </row>
    <row r="350" spans="1:13" x14ac:dyDescent="0.25">
      <c r="A350">
        <v>14</v>
      </c>
      <c r="B350" t="s">
        <v>37</v>
      </c>
      <c r="C350">
        <v>3.6</v>
      </c>
      <c r="D350" t="s">
        <v>35</v>
      </c>
      <c r="E350">
        <v>4.0999999999999996</v>
      </c>
      <c r="F350">
        <v>2.9</v>
      </c>
      <c r="G350">
        <v>2.83</v>
      </c>
      <c r="H350">
        <v>0.5</v>
      </c>
      <c r="I350" t="s">
        <v>40</v>
      </c>
      <c r="J350">
        <v>10</v>
      </c>
      <c r="K350">
        <v>6</v>
      </c>
      <c r="L350">
        <v>7</v>
      </c>
      <c r="M350">
        <v>0</v>
      </c>
    </row>
    <row r="351" spans="1:13" x14ac:dyDescent="0.25">
      <c r="A351">
        <v>19</v>
      </c>
      <c r="B351" t="s">
        <v>34</v>
      </c>
      <c r="C351">
        <v>1.8</v>
      </c>
      <c r="D351" t="s">
        <v>38</v>
      </c>
      <c r="E351">
        <v>6</v>
      </c>
      <c r="F351">
        <v>2.2999999999999998</v>
      </c>
      <c r="G351">
        <v>3.22</v>
      </c>
      <c r="H351">
        <v>1</v>
      </c>
      <c r="I351" t="s">
        <v>40</v>
      </c>
      <c r="J351">
        <v>5</v>
      </c>
      <c r="K351">
        <v>6</v>
      </c>
      <c r="L351">
        <v>8</v>
      </c>
      <c r="M351">
        <v>0</v>
      </c>
    </row>
    <row r="352" spans="1:13" x14ac:dyDescent="0.25">
      <c r="A352">
        <v>17</v>
      </c>
      <c r="B352" t="s">
        <v>37</v>
      </c>
      <c r="C352">
        <v>2.7</v>
      </c>
      <c r="D352" t="s">
        <v>35</v>
      </c>
      <c r="E352">
        <v>5.4</v>
      </c>
      <c r="F352">
        <v>2.6</v>
      </c>
      <c r="G352">
        <v>2.0699999999999998</v>
      </c>
      <c r="H352">
        <v>0</v>
      </c>
      <c r="I352" t="s">
        <v>40</v>
      </c>
      <c r="J352">
        <v>6</v>
      </c>
      <c r="K352">
        <v>5</v>
      </c>
      <c r="L352">
        <v>6</v>
      </c>
      <c r="M352">
        <v>0</v>
      </c>
    </row>
    <row r="353" spans="1:13" x14ac:dyDescent="0.25">
      <c r="A353">
        <v>15</v>
      </c>
      <c r="B353" t="s">
        <v>37</v>
      </c>
      <c r="C353">
        <v>1.2</v>
      </c>
      <c r="D353" t="s">
        <v>35</v>
      </c>
      <c r="E353">
        <v>5.2</v>
      </c>
      <c r="F353">
        <v>1</v>
      </c>
      <c r="G353">
        <v>2.78</v>
      </c>
      <c r="H353">
        <v>1.3</v>
      </c>
      <c r="I353" t="s">
        <v>39</v>
      </c>
      <c r="J353">
        <v>5</v>
      </c>
      <c r="K353">
        <v>8</v>
      </c>
      <c r="L353">
        <v>10</v>
      </c>
      <c r="M353">
        <v>0</v>
      </c>
    </row>
    <row r="354" spans="1:13" x14ac:dyDescent="0.25">
      <c r="A354">
        <v>18</v>
      </c>
      <c r="B354" t="s">
        <v>37</v>
      </c>
      <c r="C354">
        <v>6.2</v>
      </c>
      <c r="D354" t="s">
        <v>41</v>
      </c>
      <c r="E354">
        <v>6.7</v>
      </c>
      <c r="F354">
        <v>1.4</v>
      </c>
      <c r="G354">
        <v>3.42</v>
      </c>
      <c r="H354">
        <v>0.9</v>
      </c>
      <c r="I354" t="s">
        <v>36</v>
      </c>
      <c r="J354">
        <v>6</v>
      </c>
      <c r="K354">
        <v>8</v>
      </c>
      <c r="L354">
        <v>6</v>
      </c>
      <c r="M354">
        <v>0</v>
      </c>
    </row>
    <row r="355" spans="1:13" x14ac:dyDescent="0.25">
      <c r="A355">
        <v>18</v>
      </c>
      <c r="B355" t="s">
        <v>34</v>
      </c>
      <c r="C355">
        <v>1.6</v>
      </c>
      <c r="D355" t="s">
        <v>38</v>
      </c>
      <c r="E355">
        <v>6.2</v>
      </c>
      <c r="F355">
        <v>1.9</v>
      </c>
      <c r="G355">
        <v>2.0499999999999998</v>
      </c>
      <c r="H355">
        <v>0.3</v>
      </c>
      <c r="I355" t="s">
        <v>36</v>
      </c>
      <c r="J355">
        <v>8</v>
      </c>
      <c r="K355">
        <v>9</v>
      </c>
      <c r="L355">
        <v>9</v>
      </c>
      <c r="M355">
        <v>0</v>
      </c>
    </row>
    <row r="356" spans="1:13" x14ac:dyDescent="0.25">
      <c r="A356">
        <v>18</v>
      </c>
      <c r="B356" t="s">
        <v>37</v>
      </c>
      <c r="C356">
        <v>5.0999999999999996</v>
      </c>
      <c r="D356" t="s">
        <v>38</v>
      </c>
      <c r="E356">
        <v>7.4</v>
      </c>
      <c r="F356">
        <v>1.3</v>
      </c>
      <c r="G356">
        <v>3.5</v>
      </c>
      <c r="H356">
        <v>1.6</v>
      </c>
      <c r="I356" t="s">
        <v>39</v>
      </c>
      <c r="J356">
        <v>1</v>
      </c>
      <c r="K356">
        <v>5</v>
      </c>
      <c r="L356">
        <v>5</v>
      </c>
      <c r="M356">
        <v>0</v>
      </c>
    </row>
    <row r="357" spans="1:13" x14ac:dyDescent="0.25">
      <c r="A357">
        <v>13</v>
      </c>
      <c r="B357" t="s">
        <v>37</v>
      </c>
      <c r="C357">
        <v>5.2</v>
      </c>
      <c r="D357" t="s">
        <v>38</v>
      </c>
      <c r="E357">
        <v>8.1999999999999993</v>
      </c>
      <c r="F357">
        <v>2.8</v>
      </c>
      <c r="G357">
        <v>2.12</v>
      </c>
      <c r="H357">
        <v>1.4</v>
      </c>
      <c r="I357" t="s">
        <v>40</v>
      </c>
      <c r="J357">
        <v>1</v>
      </c>
      <c r="K357">
        <v>8</v>
      </c>
      <c r="L357">
        <v>1</v>
      </c>
      <c r="M357">
        <v>0</v>
      </c>
    </row>
    <row r="358" spans="1:13" x14ac:dyDescent="0.25">
      <c r="A358">
        <v>14</v>
      </c>
      <c r="B358" t="s">
        <v>34</v>
      </c>
      <c r="C358">
        <v>4.0999999999999996</v>
      </c>
      <c r="D358" t="s">
        <v>38</v>
      </c>
      <c r="E358">
        <v>5.0999999999999996</v>
      </c>
      <c r="F358">
        <v>2</v>
      </c>
      <c r="G358">
        <v>3.51</v>
      </c>
      <c r="H358">
        <v>0.7</v>
      </c>
      <c r="I358" t="s">
        <v>39</v>
      </c>
      <c r="J358">
        <v>2</v>
      </c>
      <c r="K358">
        <v>9</v>
      </c>
      <c r="L358">
        <v>1</v>
      </c>
      <c r="M358">
        <v>0</v>
      </c>
    </row>
    <row r="359" spans="1:13" x14ac:dyDescent="0.25">
      <c r="A359">
        <v>19</v>
      </c>
      <c r="B359" t="s">
        <v>37</v>
      </c>
      <c r="C359">
        <v>5.4</v>
      </c>
      <c r="D359" t="s">
        <v>38</v>
      </c>
      <c r="E359">
        <v>4.4000000000000004</v>
      </c>
      <c r="F359">
        <v>2.2999999999999998</v>
      </c>
      <c r="G359">
        <v>3.34</v>
      </c>
      <c r="H359">
        <v>0.4</v>
      </c>
      <c r="I359" t="s">
        <v>39</v>
      </c>
      <c r="J359">
        <v>3</v>
      </c>
      <c r="K359">
        <v>3</v>
      </c>
      <c r="L359">
        <v>8</v>
      </c>
      <c r="M359">
        <v>0</v>
      </c>
    </row>
    <row r="360" spans="1:13" x14ac:dyDescent="0.25">
      <c r="A360">
        <v>13</v>
      </c>
      <c r="B360" t="s">
        <v>34</v>
      </c>
      <c r="C360">
        <v>2.4</v>
      </c>
      <c r="D360" t="s">
        <v>38</v>
      </c>
      <c r="E360">
        <v>8.4</v>
      </c>
      <c r="F360">
        <v>1.6</v>
      </c>
      <c r="G360">
        <v>2.82</v>
      </c>
      <c r="H360">
        <v>1.1000000000000001</v>
      </c>
      <c r="I360" t="s">
        <v>36</v>
      </c>
      <c r="J360">
        <v>1</v>
      </c>
      <c r="K360">
        <v>3</v>
      </c>
      <c r="L360">
        <v>2</v>
      </c>
      <c r="M360">
        <v>0</v>
      </c>
    </row>
    <row r="361" spans="1:13" x14ac:dyDescent="0.25">
      <c r="A361">
        <v>18</v>
      </c>
      <c r="B361" t="s">
        <v>34</v>
      </c>
      <c r="C361">
        <v>1.7</v>
      </c>
      <c r="D361" t="s">
        <v>41</v>
      </c>
      <c r="E361">
        <v>5.6</v>
      </c>
      <c r="F361">
        <v>1.4</v>
      </c>
      <c r="G361">
        <v>2.85</v>
      </c>
      <c r="H361">
        <v>1</v>
      </c>
      <c r="I361" t="s">
        <v>39</v>
      </c>
      <c r="J361">
        <v>3</v>
      </c>
      <c r="K361">
        <v>3</v>
      </c>
      <c r="L361">
        <v>7</v>
      </c>
      <c r="M361">
        <v>0</v>
      </c>
    </row>
    <row r="362" spans="1:13" x14ac:dyDescent="0.25">
      <c r="A362">
        <v>18</v>
      </c>
      <c r="B362" t="s">
        <v>34</v>
      </c>
      <c r="C362">
        <v>6</v>
      </c>
      <c r="D362" t="s">
        <v>41</v>
      </c>
      <c r="E362">
        <v>6.1</v>
      </c>
      <c r="F362">
        <v>0.9</v>
      </c>
      <c r="G362">
        <v>2.68</v>
      </c>
      <c r="H362">
        <v>0.3</v>
      </c>
      <c r="I362" t="s">
        <v>40</v>
      </c>
      <c r="J362">
        <v>2</v>
      </c>
      <c r="K362">
        <v>10</v>
      </c>
      <c r="L362">
        <v>10</v>
      </c>
      <c r="M362">
        <v>0</v>
      </c>
    </row>
    <row r="363" spans="1:13" x14ac:dyDescent="0.25">
      <c r="A363">
        <v>17</v>
      </c>
      <c r="B363" t="s">
        <v>34</v>
      </c>
      <c r="C363">
        <v>7.2</v>
      </c>
      <c r="D363" t="s">
        <v>41</v>
      </c>
      <c r="E363">
        <v>6.1</v>
      </c>
      <c r="F363">
        <v>0.8</v>
      </c>
      <c r="G363">
        <v>3.9</v>
      </c>
      <c r="H363">
        <v>0.2</v>
      </c>
      <c r="I363" t="s">
        <v>36</v>
      </c>
      <c r="J363">
        <v>8</v>
      </c>
      <c r="K363">
        <v>3</v>
      </c>
      <c r="L363">
        <v>7</v>
      </c>
      <c r="M363">
        <v>0</v>
      </c>
    </row>
    <row r="364" spans="1:13" x14ac:dyDescent="0.25">
      <c r="A364">
        <v>18</v>
      </c>
      <c r="B364" t="s">
        <v>34</v>
      </c>
      <c r="C364">
        <v>3.5</v>
      </c>
      <c r="D364" t="s">
        <v>38</v>
      </c>
      <c r="E364">
        <v>6.3</v>
      </c>
      <c r="F364">
        <v>2.9</v>
      </c>
      <c r="G364">
        <v>3.35</v>
      </c>
      <c r="H364">
        <v>1.6</v>
      </c>
      <c r="I364" t="s">
        <v>39</v>
      </c>
      <c r="J364">
        <v>1</v>
      </c>
      <c r="K364">
        <v>4</v>
      </c>
      <c r="L364">
        <v>2</v>
      </c>
      <c r="M364">
        <v>0</v>
      </c>
    </row>
    <row r="365" spans="1:13" x14ac:dyDescent="0.25">
      <c r="A365">
        <v>15</v>
      </c>
      <c r="B365" t="s">
        <v>37</v>
      </c>
      <c r="C365">
        <v>3.8</v>
      </c>
      <c r="D365" t="s">
        <v>35</v>
      </c>
      <c r="E365">
        <v>4.4000000000000004</v>
      </c>
      <c r="F365">
        <v>1.9</v>
      </c>
      <c r="G365">
        <v>2.04</v>
      </c>
      <c r="H365">
        <v>0.5</v>
      </c>
      <c r="I365" t="s">
        <v>40</v>
      </c>
      <c r="J365">
        <v>4</v>
      </c>
      <c r="K365">
        <v>9</v>
      </c>
      <c r="L365">
        <v>7</v>
      </c>
      <c r="M365">
        <v>0</v>
      </c>
    </row>
    <row r="366" spans="1:13" x14ac:dyDescent="0.25">
      <c r="A366">
        <v>18</v>
      </c>
      <c r="B366" t="s">
        <v>37</v>
      </c>
      <c r="C366">
        <v>4.5</v>
      </c>
      <c r="D366" t="s">
        <v>41</v>
      </c>
      <c r="E366">
        <v>8</v>
      </c>
      <c r="F366">
        <v>1.5</v>
      </c>
      <c r="G366">
        <v>3.45</v>
      </c>
      <c r="H366">
        <v>1</v>
      </c>
      <c r="I366" t="s">
        <v>36</v>
      </c>
      <c r="J366">
        <v>4</v>
      </c>
      <c r="K366">
        <v>3</v>
      </c>
      <c r="L366">
        <v>9</v>
      </c>
      <c r="M366">
        <v>0</v>
      </c>
    </row>
    <row r="367" spans="1:13" x14ac:dyDescent="0.25">
      <c r="A367">
        <v>16</v>
      </c>
      <c r="B367" t="s">
        <v>37</v>
      </c>
      <c r="C367">
        <v>7.3</v>
      </c>
      <c r="D367" t="s">
        <v>41</v>
      </c>
      <c r="E367">
        <v>7.2</v>
      </c>
      <c r="F367">
        <v>0.5</v>
      </c>
      <c r="G367">
        <v>2.78</v>
      </c>
      <c r="H367">
        <v>1.9</v>
      </c>
      <c r="I367" t="s">
        <v>36</v>
      </c>
      <c r="J367">
        <v>7</v>
      </c>
      <c r="K367">
        <v>3</v>
      </c>
      <c r="L367">
        <v>9</v>
      </c>
      <c r="M367">
        <v>0</v>
      </c>
    </row>
    <row r="368" spans="1:13" x14ac:dyDescent="0.25">
      <c r="A368">
        <v>18</v>
      </c>
      <c r="B368" t="s">
        <v>37</v>
      </c>
      <c r="C368">
        <v>6.4</v>
      </c>
      <c r="D368" t="s">
        <v>35</v>
      </c>
      <c r="E368">
        <v>7.7</v>
      </c>
      <c r="F368">
        <v>0.5</v>
      </c>
      <c r="G368">
        <v>3.05</v>
      </c>
      <c r="H368">
        <v>1.2</v>
      </c>
      <c r="I368" t="s">
        <v>36</v>
      </c>
      <c r="J368">
        <v>3</v>
      </c>
      <c r="K368">
        <v>1</v>
      </c>
      <c r="L368">
        <v>2</v>
      </c>
      <c r="M368">
        <v>0</v>
      </c>
    </row>
    <row r="369" spans="1:13" x14ac:dyDescent="0.25">
      <c r="A369">
        <v>16</v>
      </c>
      <c r="B369" t="s">
        <v>34</v>
      </c>
      <c r="C369">
        <v>5.3</v>
      </c>
      <c r="D369" t="s">
        <v>38</v>
      </c>
      <c r="E369">
        <v>8.4</v>
      </c>
      <c r="F369">
        <v>2.2000000000000002</v>
      </c>
      <c r="G369">
        <v>2.81</v>
      </c>
      <c r="H369">
        <v>0.6</v>
      </c>
      <c r="I369" t="s">
        <v>39</v>
      </c>
      <c r="J369">
        <v>2</v>
      </c>
      <c r="K369">
        <v>8</v>
      </c>
      <c r="L369">
        <v>8</v>
      </c>
      <c r="M369">
        <v>0</v>
      </c>
    </row>
    <row r="370" spans="1:13" x14ac:dyDescent="0.25">
      <c r="A370">
        <v>13</v>
      </c>
      <c r="B370" t="s">
        <v>34</v>
      </c>
      <c r="C370">
        <v>2.4</v>
      </c>
      <c r="D370" t="s">
        <v>35</v>
      </c>
      <c r="E370">
        <v>7.1</v>
      </c>
      <c r="F370">
        <v>0.7</v>
      </c>
      <c r="G370">
        <v>3.64</v>
      </c>
      <c r="H370">
        <v>1.1000000000000001</v>
      </c>
      <c r="I370" t="s">
        <v>39</v>
      </c>
      <c r="J370">
        <v>6</v>
      </c>
      <c r="K370">
        <v>5</v>
      </c>
      <c r="L370">
        <v>5</v>
      </c>
      <c r="M370">
        <v>0</v>
      </c>
    </row>
    <row r="371" spans="1:13" x14ac:dyDescent="0.25">
      <c r="A371">
        <v>13</v>
      </c>
      <c r="B371" t="s">
        <v>34</v>
      </c>
      <c r="C371">
        <v>8</v>
      </c>
      <c r="D371" t="s">
        <v>41</v>
      </c>
      <c r="E371">
        <v>8.9</v>
      </c>
      <c r="F371">
        <v>2.2000000000000002</v>
      </c>
      <c r="G371">
        <v>3.82</v>
      </c>
      <c r="H371">
        <v>1.2</v>
      </c>
      <c r="I371" t="s">
        <v>36</v>
      </c>
      <c r="J371">
        <v>8</v>
      </c>
      <c r="K371">
        <v>8</v>
      </c>
      <c r="L371">
        <v>4</v>
      </c>
      <c r="M371">
        <v>0</v>
      </c>
    </row>
    <row r="372" spans="1:13" x14ac:dyDescent="0.25">
      <c r="A372">
        <v>15</v>
      </c>
      <c r="B372" t="s">
        <v>34</v>
      </c>
      <c r="C372">
        <v>7.3</v>
      </c>
      <c r="D372" t="s">
        <v>41</v>
      </c>
      <c r="E372">
        <v>4.4000000000000004</v>
      </c>
      <c r="F372">
        <v>2.2999999999999998</v>
      </c>
      <c r="G372">
        <v>2.76</v>
      </c>
      <c r="H372">
        <v>1.8</v>
      </c>
      <c r="I372" t="s">
        <v>40</v>
      </c>
      <c r="J372">
        <v>4</v>
      </c>
      <c r="K372">
        <v>6</v>
      </c>
      <c r="L372">
        <v>9</v>
      </c>
      <c r="M372">
        <v>0</v>
      </c>
    </row>
    <row r="373" spans="1:13" x14ac:dyDescent="0.25">
      <c r="A373">
        <v>17</v>
      </c>
      <c r="B373" t="s">
        <v>37</v>
      </c>
      <c r="C373">
        <v>4.5</v>
      </c>
      <c r="D373" t="s">
        <v>41</v>
      </c>
      <c r="E373">
        <v>7.3</v>
      </c>
      <c r="F373">
        <v>0.9</v>
      </c>
      <c r="G373">
        <v>2.34</v>
      </c>
      <c r="H373">
        <v>0.9</v>
      </c>
      <c r="I373" t="s">
        <v>40</v>
      </c>
      <c r="J373">
        <v>7</v>
      </c>
      <c r="K373">
        <v>3</v>
      </c>
      <c r="L373">
        <v>8</v>
      </c>
      <c r="M373">
        <v>0</v>
      </c>
    </row>
    <row r="374" spans="1:13" x14ac:dyDescent="0.25">
      <c r="A374">
        <v>19</v>
      </c>
      <c r="B374" t="s">
        <v>34</v>
      </c>
      <c r="C374">
        <v>5</v>
      </c>
      <c r="D374" t="s">
        <v>41</v>
      </c>
      <c r="E374">
        <v>9</v>
      </c>
      <c r="F374">
        <v>2.4</v>
      </c>
      <c r="G374">
        <v>2.5299999999999998</v>
      </c>
      <c r="H374">
        <v>0.4</v>
      </c>
      <c r="I374" t="s">
        <v>40</v>
      </c>
      <c r="J374">
        <v>7</v>
      </c>
      <c r="K374">
        <v>2</v>
      </c>
      <c r="L374">
        <v>10</v>
      </c>
      <c r="M374">
        <v>0</v>
      </c>
    </row>
    <row r="375" spans="1:13" x14ac:dyDescent="0.25">
      <c r="A375">
        <v>16</v>
      </c>
      <c r="B375" t="s">
        <v>37</v>
      </c>
      <c r="C375">
        <v>5.7</v>
      </c>
      <c r="D375" t="s">
        <v>41</v>
      </c>
      <c r="E375">
        <v>4.2</v>
      </c>
      <c r="F375">
        <v>1.4</v>
      </c>
      <c r="G375">
        <v>2.56</v>
      </c>
      <c r="H375">
        <v>0.1</v>
      </c>
      <c r="I375" t="s">
        <v>39</v>
      </c>
      <c r="J375">
        <v>4</v>
      </c>
      <c r="K375">
        <v>3</v>
      </c>
      <c r="L375">
        <v>1</v>
      </c>
      <c r="M375">
        <v>0</v>
      </c>
    </row>
    <row r="376" spans="1:13" x14ac:dyDescent="0.25">
      <c r="A376">
        <v>18</v>
      </c>
      <c r="B376" t="s">
        <v>37</v>
      </c>
      <c r="C376">
        <v>2.9</v>
      </c>
      <c r="D376" t="s">
        <v>35</v>
      </c>
      <c r="E376">
        <v>8.4</v>
      </c>
      <c r="F376">
        <v>2.6</v>
      </c>
      <c r="G376">
        <v>2.57</v>
      </c>
      <c r="H376">
        <v>1.8</v>
      </c>
      <c r="I376" t="s">
        <v>40</v>
      </c>
      <c r="J376">
        <v>4</v>
      </c>
      <c r="K376">
        <v>1</v>
      </c>
      <c r="L376">
        <v>3</v>
      </c>
      <c r="M376">
        <v>0</v>
      </c>
    </row>
    <row r="377" spans="1:13" x14ac:dyDescent="0.25">
      <c r="A377">
        <v>13</v>
      </c>
      <c r="B377" t="s">
        <v>34</v>
      </c>
      <c r="C377">
        <v>7.9</v>
      </c>
      <c r="D377" t="s">
        <v>35</v>
      </c>
      <c r="E377">
        <v>8.8000000000000007</v>
      </c>
      <c r="F377">
        <v>2.2999999999999998</v>
      </c>
      <c r="G377">
        <v>3.39</v>
      </c>
      <c r="H377">
        <v>0.5</v>
      </c>
      <c r="I377" t="s">
        <v>36</v>
      </c>
      <c r="J377">
        <v>1</v>
      </c>
      <c r="K377">
        <v>9</v>
      </c>
      <c r="L377">
        <v>3</v>
      </c>
      <c r="M377">
        <v>0</v>
      </c>
    </row>
    <row r="378" spans="1:13" x14ac:dyDescent="0.25">
      <c r="A378">
        <v>19</v>
      </c>
      <c r="B378" t="s">
        <v>34</v>
      </c>
      <c r="C378">
        <v>4.8</v>
      </c>
      <c r="D378" t="s">
        <v>38</v>
      </c>
      <c r="E378">
        <v>5</v>
      </c>
      <c r="F378">
        <v>2.6</v>
      </c>
      <c r="G378">
        <v>3.25</v>
      </c>
      <c r="H378">
        <v>1.6</v>
      </c>
      <c r="I378" t="s">
        <v>36</v>
      </c>
      <c r="J378">
        <v>4</v>
      </c>
      <c r="K378">
        <v>6</v>
      </c>
      <c r="L378">
        <v>1</v>
      </c>
      <c r="M378">
        <v>0</v>
      </c>
    </row>
    <row r="379" spans="1:13" x14ac:dyDescent="0.25">
      <c r="A379">
        <v>13</v>
      </c>
      <c r="B379" t="s">
        <v>37</v>
      </c>
      <c r="C379">
        <v>3</v>
      </c>
      <c r="D379" t="s">
        <v>41</v>
      </c>
      <c r="E379">
        <v>6</v>
      </c>
      <c r="F379">
        <v>1</v>
      </c>
      <c r="G379">
        <v>2.63</v>
      </c>
      <c r="H379">
        <v>0.1</v>
      </c>
      <c r="I379" t="s">
        <v>36</v>
      </c>
      <c r="J379">
        <v>5</v>
      </c>
      <c r="K379">
        <v>10</v>
      </c>
      <c r="L379">
        <v>9</v>
      </c>
      <c r="M379">
        <v>0</v>
      </c>
    </row>
    <row r="380" spans="1:13" x14ac:dyDescent="0.25">
      <c r="A380">
        <v>14</v>
      </c>
      <c r="B380" t="s">
        <v>37</v>
      </c>
      <c r="C380">
        <v>4.0999999999999996</v>
      </c>
      <c r="D380" t="s">
        <v>41</v>
      </c>
      <c r="E380">
        <v>6.4</v>
      </c>
      <c r="F380">
        <v>2</v>
      </c>
      <c r="G380">
        <v>3.69</v>
      </c>
      <c r="H380">
        <v>1.5</v>
      </c>
      <c r="I380" t="s">
        <v>40</v>
      </c>
      <c r="J380">
        <v>7</v>
      </c>
      <c r="K380">
        <v>7</v>
      </c>
      <c r="L380">
        <v>9</v>
      </c>
      <c r="M380">
        <v>0</v>
      </c>
    </row>
    <row r="381" spans="1:13" x14ac:dyDescent="0.25">
      <c r="A381">
        <v>19</v>
      </c>
      <c r="B381" t="s">
        <v>34</v>
      </c>
      <c r="C381">
        <v>6.9</v>
      </c>
      <c r="D381" t="s">
        <v>35</v>
      </c>
      <c r="E381">
        <v>5</v>
      </c>
      <c r="F381">
        <v>1.2</v>
      </c>
      <c r="G381">
        <v>2.56</v>
      </c>
      <c r="H381">
        <v>1.6</v>
      </c>
      <c r="I381" t="s">
        <v>39</v>
      </c>
      <c r="J381">
        <v>3</v>
      </c>
      <c r="K381">
        <v>10</v>
      </c>
      <c r="L381">
        <v>8</v>
      </c>
      <c r="M381">
        <v>0</v>
      </c>
    </row>
    <row r="382" spans="1:13" x14ac:dyDescent="0.25">
      <c r="A382">
        <v>17</v>
      </c>
      <c r="B382" t="s">
        <v>37</v>
      </c>
      <c r="C382">
        <v>3.2</v>
      </c>
      <c r="D382" t="s">
        <v>35</v>
      </c>
      <c r="E382">
        <v>6.2</v>
      </c>
      <c r="F382">
        <v>2.2000000000000002</v>
      </c>
      <c r="G382">
        <v>2.96</v>
      </c>
      <c r="H382">
        <v>1.6</v>
      </c>
      <c r="I382" t="s">
        <v>36</v>
      </c>
      <c r="J382">
        <v>8</v>
      </c>
      <c r="K382">
        <v>10</v>
      </c>
      <c r="L382">
        <v>9</v>
      </c>
      <c r="M382">
        <v>0</v>
      </c>
    </row>
    <row r="383" spans="1:13" x14ac:dyDescent="0.25">
      <c r="A383">
        <v>18</v>
      </c>
      <c r="B383" t="s">
        <v>37</v>
      </c>
      <c r="C383">
        <v>1.3</v>
      </c>
      <c r="D383" t="s">
        <v>41</v>
      </c>
      <c r="E383">
        <v>4.9000000000000004</v>
      </c>
      <c r="F383">
        <v>0.9</v>
      </c>
      <c r="G383">
        <v>3.86</v>
      </c>
      <c r="H383">
        <v>0</v>
      </c>
      <c r="I383" t="s">
        <v>40</v>
      </c>
      <c r="J383">
        <v>4</v>
      </c>
      <c r="K383">
        <v>9</v>
      </c>
      <c r="L383">
        <v>8</v>
      </c>
      <c r="M383">
        <v>0</v>
      </c>
    </row>
    <row r="384" spans="1:13" x14ac:dyDescent="0.25">
      <c r="A384">
        <v>15</v>
      </c>
      <c r="B384" t="s">
        <v>37</v>
      </c>
      <c r="C384">
        <v>4.2</v>
      </c>
      <c r="D384" t="s">
        <v>38</v>
      </c>
      <c r="E384">
        <v>6.8</v>
      </c>
      <c r="F384">
        <v>1.1000000000000001</v>
      </c>
      <c r="G384">
        <v>3.37</v>
      </c>
      <c r="H384">
        <v>0.7</v>
      </c>
      <c r="I384" t="s">
        <v>39</v>
      </c>
      <c r="J384">
        <v>3</v>
      </c>
      <c r="K384">
        <v>6</v>
      </c>
      <c r="L384">
        <v>8</v>
      </c>
      <c r="M384">
        <v>0</v>
      </c>
    </row>
    <row r="385" spans="1:13" x14ac:dyDescent="0.25">
      <c r="A385">
        <v>19</v>
      </c>
      <c r="B385" t="s">
        <v>34</v>
      </c>
      <c r="C385">
        <v>6.6</v>
      </c>
      <c r="D385" t="s">
        <v>41</v>
      </c>
      <c r="E385">
        <v>6</v>
      </c>
      <c r="F385">
        <v>2.1</v>
      </c>
      <c r="G385">
        <v>2.84</v>
      </c>
      <c r="H385">
        <v>1.5</v>
      </c>
      <c r="I385" t="s">
        <v>36</v>
      </c>
      <c r="J385">
        <v>9</v>
      </c>
      <c r="K385">
        <v>4</v>
      </c>
      <c r="L385">
        <v>5</v>
      </c>
      <c r="M385">
        <v>0</v>
      </c>
    </row>
    <row r="386" spans="1:13" x14ac:dyDescent="0.25">
      <c r="A386">
        <v>13</v>
      </c>
      <c r="B386" t="s">
        <v>34</v>
      </c>
      <c r="C386">
        <v>7.5</v>
      </c>
      <c r="D386" t="s">
        <v>38</v>
      </c>
      <c r="E386">
        <v>4.8</v>
      </c>
      <c r="F386">
        <v>0.7</v>
      </c>
      <c r="G386">
        <v>2.91</v>
      </c>
      <c r="H386">
        <v>2</v>
      </c>
      <c r="I386" t="s">
        <v>39</v>
      </c>
      <c r="J386">
        <v>10</v>
      </c>
      <c r="K386">
        <v>9</v>
      </c>
      <c r="L386">
        <v>1</v>
      </c>
      <c r="M386">
        <v>1</v>
      </c>
    </row>
    <row r="387" spans="1:13" x14ac:dyDescent="0.25">
      <c r="A387">
        <v>15</v>
      </c>
      <c r="B387" t="s">
        <v>34</v>
      </c>
      <c r="C387">
        <v>7</v>
      </c>
      <c r="D387" t="s">
        <v>41</v>
      </c>
      <c r="E387">
        <v>8.6999999999999993</v>
      </c>
      <c r="F387">
        <v>3</v>
      </c>
      <c r="G387">
        <v>2.84</v>
      </c>
      <c r="H387">
        <v>1.4</v>
      </c>
      <c r="I387" t="s">
        <v>40</v>
      </c>
      <c r="J387">
        <v>5</v>
      </c>
      <c r="K387">
        <v>3</v>
      </c>
      <c r="L387">
        <v>2</v>
      </c>
      <c r="M387">
        <v>0</v>
      </c>
    </row>
    <row r="388" spans="1:13" x14ac:dyDescent="0.25">
      <c r="A388">
        <v>15</v>
      </c>
      <c r="B388" t="s">
        <v>37</v>
      </c>
      <c r="C388">
        <v>6.7</v>
      </c>
      <c r="D388" t="s">
        <v>41</v>
      </c>
      <c r="E388">
        <v>5</v>
      </c>
      <c r="F388">
        <v>0.6</v>
      </c>
      <c r="G388">
        <v>2.75</v>
      </c>
      <c r="H388">
        <v>1.5</v>
      </c>
      <c r="I388" t="s">
        <v>40</v>
      </c>
      <c r="J388">
        <v>7</v>
      </c>
      <c r="K388">
        <v>4</v>
      </c>
      <c r="L388">
        <v>8</v>
      </c>
      <c r="M388">
        <v>0</v>
      </c>
    </row>
    <row r="389" spans="1:13" x14ac:dyDescent="0.25">
      <c r="A389">
        <v>15</v>
      </c>
      <c r="B389" t="s">
        <v>37</v>
      </c>
      <c r="C389">
        <v>2.2999999999999998</v>
      </c>
      <c r="D389" t="s">
        <v>35</v>
      </c>
      <c r="E389">
        <v>5.6</v>
      </c>
      <c r="F389">
        <v>2.9</v>
      </c>
      <c r="G389">
        <v>2.72</v>
      </c>
      <c r="H389">
        <v>1</v>
      </c>
      <c r="I389" t="s">
        <v>39</v>
      </c>
      <c r="J389">
        <v>6</v>
      </c>
      <c r="K389">
        <v>6</v>
      </c>
      <c r="L389">
        <v>2</v>
      </c>
      <c r="M389">
        <v>0</v>
      </c>
    </row>
    <row r="390" spans="1:13" x14ac:dyDescent="0.25">
      <c r="A390">
        <v>14</v>
      </c>
      <c r="B390" t="s">
        <v>34</v>
      </c>
      <c r="C390">
        <v>5.3</v>
      </c>
      <c r="D390" t="s">
        <v>41</v>
      </c>
      <c r="E390">
        <v>9</v>
      </c>
      <c r="F390">
        <v>2.8</v>
      </c>
      <c r="G390">
        <v>3.1</v>
      </c>
      <c r="H390">
        <v>1.6</v>
      </c>
      <c r="I390" t="s">
        <v>39</v>
      </c>
      <c r="J390">
        <v>10</v>
      </c>
      <c r="K390">
        <v>7</v>
      </c>
      <c r="L390">
        <v>6</v>
      </c>
      <c r="M390">
        <v>0</v>
      </c>
    </row>
    <row r="391" spans="1:13" x14ac:dyDescent="0.25">
      <c r="A391">
        <v>13</v>
      </c>
      <c r="B391" t="s">
        <v>37</v>
      </c>
      <c r="C391">
        <v>2.7</v>
      </c>
      <c r="D391" t="s">
        <v>38</v>
      </c>
      <c r="E391">
        <v>6.5</v>
      </c>
      <c r="F391">
        <v>1.5</v>
      </c>
      <c r="G391">
        <v>2.58</v>
      </c>
      <c r="H391">
        <v>0.4</v>
      </c>
      <c r="I391" t="s">
        <v>39</v>
      </c>
      <c r="J391">
        <v>1</v>
      </c>
      <c r="K391">
        <v>1</v>
      </c>
      <c r="L391">
        <v>6</v>
      </c>
      <c r="M391">
        <v>0</v>
      </c>
    </row>
    <row r="392" spans="1:13" x14ac:dyDescent="0.25">
      <c r="A392">
        <v>13</v>
      </c>
      <c r="B392" t="s">
        <v>34</v>
      </c>
      <c r="C392">
        <v>5.4</v>
      </c>
      <c r="D392" t="s">
        <v>35</v>
      </c>
      <c r="E392">
        <v>7.8</v>
      </c>
      <c r="F392">
        <v>1.8</v>
      </c>
      <c r="G392">
        <v>3.46</v>
      </c>
      <c r="H392">
        <v>1</v>
      </c>
      <c r="I392" t="s">
        <v>39</v>
      </c>
      <c r="J392">
        <v>4</v>
      </c>
      <c r="K392">
        <v>7</v>
      </c>
      <c r="L392">
        <v>7</v>
      </c>
      <c r="M392">
        <v>0</v>
      </c>
    </row>
    <row r="393" spans="1:13" x14ac:dyDescent="0.25">
      <c r="A393">
        <v>17</v>
      </c>
      <c r="B393" t="s">
        <v>34</v>
      </c>
      <c r="C393">
        <v>7.2</v>
      </c>
      <c r="D393" t="s">
        <v>35</v>
      </c>
      <c r="E393">
        <v>8</v>
      </c>
      <c r="F393">
        <v>1.9</v>
      </c>
      <c r="G393">
        <v>2.66</v>
      </c>
      <c r="H393">
        <v>1.4</v>
      </c>
      <c r="I393" t="s">
        <v>40</v>
      </c>
      <c r="J393">
        <v>5</v>
      </c>
      <c r="K393">
        <v>8</v>
      </c>
      <c r="L393">
        <v>6</v>
      </c>
      <c r="M393">
        <v>0</v>
      </c>
    </row>
    <row r="394" spans="1:13" x14ac:dyDescent="0.25">
      <c r="A394">
        <v>19</v>
      </c>
      <c r="B394" t="s">
        <v>34</v>
      </c>
      <c r="C394">
        <v>1.5</v>
      </c>
      <c r="D394" t="s">
        <v>38</v>
      </c>
      <c r="E394">
        <v>6.8</v>
      </c>
      <c r="F394">
        <v>2.5</v>
      </c>
      <c r="G394">
        <v>2.13</v>
      </c>
      <c r="H394">
        <v>0.2</v>
      </c>
      <c r="I394" t="s">
        <v>40</v>
      </c>
      <c r="J394">
        <v>9</v>
      </c>
      <c r="K394">
        <v>8</v>
      </c>
      <c r="L394">
        <v>10</v>
      </c>
      <c r="M394">
        <v>0</v>
      </c>
    </row>
    <row r="395" spans="1:13" x14ac:dyDescent="0.25">
      <c r="A395">
        <v>13</v>
      </c>
      <c r="B395" t="s">
        <v>34</v>
      </c>
      <c r="C395">
        <v>4</v>
      </c>
      <c r="D395" t="s">
        <v>41</v>
      </c>
      <c r="E395">
        <v>4.2</v>
      </c>
      <c r="F395">
        <v>0.5</v>
      </c>
      <c r="G395">
        <v>2.46</v>
      </c>
      <c r="H395">
        <v>0.6</v>
      </c>
      <c r="I395" t="s">
        <v>36</v>
      </c>
      <c r="J395">
        <v>2</v>
      </c>
      <c r="K395">
        <v>9</v>
      </c>
      <c r="L395">
        <v>9</v>
      </c>
      <c r="M395">
        <v>0</v>
      </c>
    </row>
    <row r="396" spans="1:13" x14ac:dyDescent="0.25">
      <c r="A396">
        <v>15</v>
      </c>
      <c r="B396" t="s">
        <v>37</v>
      </c>
      <c r="C396">
        <v>4.2</v>
      </c>
      <c r="D396" t="s">
        <v>41</v>
      </c>
      <c r="E396">
        <v>7.1</v>
      </c>
      <c r="F396">
        <v>2.1</v>
      </c>
      <c r="G396">
        <v>2.21</v>
      </c>
      <c r="H396">
        <v>1.8</v>
      </c>
      <c r="I396" t="s">
        <v>40</v>
      </c>
      <c r="J396">
        <v>4</v>
      </c>
      <c r="K396">
        <v>1</v>
      </c>
      <c r="L396">
        <v>3</v>
      </c>
      <c r="M396">
        <v>0</v>
      </c>
    </row>
    <row r="397" spans="1:13" x14ac:dyDescent="0.25">
      <c r="A397">
        <v>19</v>
      </c>
      <c r="B397" t="s">
        <v>34</v>
      </c>
      <c r="C397">
        <v>1.8</v>
      </c>
      <c r="D397" t="s">
        <v>38</v>
      </c>
      <c r="E397">
        <v>7.7</v>
      </c>
      <c r="F397">
        <v>2.2000000000000002</v>
      </c>
      <c r="G397">
        <v>3.77</v>
      </c>
      <c r="H397">
        <v>0.3</v>
      </c>
      <c r="I397" t="s">
        <v>40</v>
      </c>
      <c r="J397">
        <v>4</v>
      </c>
      <c r="K397">
        <v>6</v>
      </c>
      <c r="L397">
        <v>7</v>
      </c>
      <c r="M397">
        <v>0</v>
      </c>
    </row>
    <row r="398" spans="1:13" x14ac:dyDescent="0.25">
      <c r="A398">
        <v>17</v>
      </c>
      <c r="B398" t="s">
        <v>37</v>
      </c>
      <c r="C398">
        <v>3.3</v>
      </c>
      <c r="D398" t="s">
        <v>35</v>
      </c>
      <c r="E398">
        <v>8.6</v>
      </c>
      <c r="F398">
        <v>1.1000000000000001</v>
      </c>
      <c r="G398">
        <v>2.62</v>
      </c>
      <c r="H398">
        <v>0.4</v>
      </c>
      <c r="I398" t="s">
        <v>36</v>
      </c>
      <c r="J398">
        <v>4</v>
      </c>
      <c r="K398">
        <v>7</v>
      </c>
      <c r="L398">
        <v>9</v>
      </c>
      <c r="M398">
        <v>0</v>
      </c>
    </row>
    <row r="399" spans="1:13" x14ac:dyDescent="0.25">
      <c r="A399">
        <v>14</v>
      </c>
      <c r="B399" t="s">
        <v>37</v>
      </c>
      <c r="C399">
        <v>1</v>
      </c>
      <c r="D399" t="s">
        <v>41</v>
      </c>
      <c r="E399">
        <v>6.6</v>
      </c>
      <c r="F399">
        <v>1.4</v>
      </c>
      <c r="G399">
        <v>2.02</v>
      </c>
      <c r="H399">
        <v>1.9</v>
      </c>
      <c r="I399" t="s">
        <v>36</v>
      </c>
      <c r="J399">
        <v>6</v>
      </c>
      <c r="K399">
        <v>5</v>
      </c>
      <c r="L399">
        <v>5</v>
      </c>
      <c r="M399">
        <v>0</v>
      </c>
    </row>
    <row r="400" spans="1:13" x14ac:dyDescent="0.25">
      <c r="A400">
        <v>13</v>
      </c>
      <c r="B400" t="s">
        <v>37</v>
      </c>
      <c r="C400">
        <v>1.2</v>
      </c>
      <c r="D400" t="s">
        <v>38</v>
      </c>
      <c r="E400">
        <v>8</v>
      </c>
      <c r="F400">
        <v>2.8</v>
      </c>
      <c r="G400">
        <v>2.1800000000000002</v>
      </c>
      <c r="H400">
        <v>1.1000000000000001</v>
      </c>
      <c r="I400" t="s">
        <v>39</v>
      </c>
      <c r="J400">
        <v>5</v>
      </c>
      <c r="K400">
        <v>8</v>
      </c>
      <c r="L400">
        <v>5</v>
      </c>
      <c r="M400">
        <v>0</v>
      </c>
    </row>
    <row r="401" spans="1:13" x14ac:dyDescent="0.25">
      <c r="A401">
        <v>19</v>
      </c>
      <c r="B401" t="s">
        <v>34</v>
      </c>
      <c r="C401">
        <v>2</v>
      </c>
      <c r="D401" t="s">
        <v>35</v>
      </c>
      <c r="E401">
        <v>4.0999999999999996</v>
      </c>
      <c r="F401">
        <v>1.3</v>
      </c>
      <c r="G401">
        <v>3.71</v>
      </c>
      <c r="H401">
        <v>1.6</v>
      </c>
      <c r="I401" t="s">
        <v>36</v>
      </c>
      <c r="J401">
        <v>7</v>
      </c>
      <c r="K401">
        <v>7</v>
      </c>
      <c r="L401">
        <v>8</v>
      </c>
      <c r="M401">
        <v>0</v>
      </c>
    </row>
    <row r="402" spans="1:13" x14ac:dyDescent="0.25">
      <c r="A402">
        <v>13</v>
      </c>
      <c r="B402" t="s">
        <v>37</v>
      </c>
      <c r="C402">
        <v>7.1</v>
      </c>
      <c r="D402" t="s">
        <v>41</v>
      </c>
      <c r="E402">
        <v>6.5</v>
      </c>
      <c r="F402">
        <v>1.6</v>
      </c>
      <c r="G402">
        <v>2.0299999999999998</v>
      </c>
      <c r="H402">
        <v>0.3</v>
      </c>
      <c r="I402" t="s">
        <v>40</v>
      </c>
      <c r="J402">
        <v>1</v>
      </c>
      <c r="K402">
        <v>10</v>
      </c>
      <c r="L402">
        <v>6</v>
      </c>
      <c r="M402">
        <v>0</v>
      </c>
    </row>
    <row r="403" spans="1:13" x14ac:dyDescent="0.25">
      <c r="A403">
        <v>15</v>
      </c>
      <c r="B403" t="s">
        <v>37</v>
      </c>
      <c r="C403">
        <v>5.5</v>
      </c>
      <c r="D403" t="s">
        <v>38</v>
      </c>
      <c r="E403">
        <v>7.8</v>
      </c>
      <c r="F403">
        <v>1.5</v>
      </c>
      <c r="G403">
        <v>2.79</v>
      </c>
      <c r="H403">
        <v>0.7</v>
      </c>
      <c r="I403" t="s">
        <v>39</v>
      </c>
      <c r="J403">
        <v>9</v>
      </c>
      <c r="K403">
        <v>10</v>
      </c>
      <c r="L403">
        <v>7</v>
      </c>
      <c r="M403">
        <v>0</v>
      </c>
    </row>
    <row r="404" spans="1:13" x14ac:dyDescent="0.25">
      <c r="A404">
        <v>17</v>
      </c>
      <c r="B404" t="s">
        <v>34</v>
      </c>
      <c r="C404">
        <v>7.7</v>
      </c>
      <c r="D404" t="s">
        <v>38</v>
      </c>
      <c r="E404">
        <v>4.7</v>
      </c>
      <c r="F404">
        <v>2.8</v>
      </c>
      <c r="G404">
        <v>3.5</v>
      </c>
      <c r="H404">
        <v>1.5</v>
      </c>
      <c r="I404" t="s">
        <v>36</v>
      </c>
      <c r="J404">
        <v>8</v>
      </c>
      <c r="K404">
        <v>4</v>
      </c>
      <c r="L404">
        <v>8</v>
      </c>
      <c r="M404">
        <v>0</v>
      </c>
    </row>
    <row r="405" spans="1:13" x14ac:dyDescent="0.25">
      <c r="A405">
        <v>17</v>
      </c>
      <c r="B405" t="s">
        <v>37</v>
      </c>
      <c r="C405">
        <v>7.6</v>
      </c>
      <c r="D405" t="s">
        <v>35</v>
      </c>
      <c r="E405">
        <v>5.9</v>
      </c>
      <c r="F405">
        <v>2</v>
      </c>
      <c r="G405">
        <v>2.52</v>
      </c>
      <c r="H405">
        <v>1.5</v>
      </c>
      <c r="I405" t="s">
        <v>40</v>
      </c>
      <c r="J405">
        <v>1</v>
      </c>
      <c r="K405">
        <v>5</v>
      </c>
      <c r="L405">
        <v>1</v>
      </c>
      <c r="M405">
        <v>0</v>
      </c>
    </row>
    <row r="406" spans="1:13" x14ac:dyDescent="0.25">
      <c r="A406">
        <v>13</v>
      </c>
      <c r="B406" t="s">
        <v>34</v>
      </c>
      <c r="C406">
        <v>8</v>
      </c>
      <c r="D406" t="s">
        <v>35</v>
      </c>
      <c r="E406">
        <v>6.9</v>
      </c>
      <c r="F406">
        <v>2.5</v>
      </c>
      <c r="G406">
        <v>2.4500000000000002</v>
      </c>
      <c r="H406">
        <v>1.7</v>
      </c>
      <c r="I406" t="s">
        <v>40</v>
      </c>
      <c r="J406">
        <v>10</v>
      </c>
      <c r="K406">
        <v>1</v>
      </c>
      <c r="L406">
        <v>3</v>
      </c>
      <c r="M406">
        <v>0</v>
      </c>
    </row>
    <row r="407" spans="1:13" x14ac:dyDescent="0.25">
      <c r="A407">
        <v>16</v>
      </c>
      <c r="B407" t="s">
        <v>37</v>
      </c>
      <c r="C407">
        <v>4.3</v>
      </c>
      <c r="D407" t="s">
        <v>35</v>
      </c>
      <c r="E407">
        <v>6</v>
      </c>
      <c r="F407">
        <v>1.4</v>
      </c>
      <c r="G407">
        <v>2.98</v>
      </c>
      <c r="H407">
        <v>1.7</v>
      </c>
      <c r="I407" t="s">
        <v>36</v>
      </c>
      <c r="J407">
        <v>8</v>
      </c>
      <c r="K407">
        <v>7</v>
      </c>
      <c r="L407">
        <v>4</v>
      </c>
      <c r="M407">
        <v>0</v>
      </c>
    </row>
    <row r="408" spans="1:13" x14ac:dyDescent="0.25">
      <c r="A408">
        <v>13</v>
      </c>
      <c r="B408" t="s">
        <v>34</v>
      </c>
      <c r="C408">
        <v>3.8</v>
      </c>
      <c r="D408" t="s">
        <v>41</v>
      </c>
      <c r="E408">
        <v>5.3</v>
      </c>
      <c r="F408">
        <v>2.5</v>
      </c>
      <c r="G408">
        <v>3.48</v>
      </c>
      <c r="H408">
        <v>1</v>
      </c>
      <c r="I408" t="s">
        <v>36</v>
      </c>
      <c r="J408">
        <v>6</v>
      </c>
      <c r="K408">
        <v>7</v>
      </c>
      <c r="L408">
        <v>7</v>
      </c>
      <c r="M408">
        <v>0</v>
      </c>
    </row>
    <row r="409" spans="1:13" x14ac:dyDescent="0.25">
      <c r="A409">
        <v>16</v>
      </c>
      <c r="B409" t="s">
        <v>37</v>
      </c>
      <c r="C409">
        <v>2.9</v>
      </c>
      <c r="D409" t="s">
        <v>38</v>
      </c>
      <c r="E409">
        <v>6.3</v>
      </c>
      <c r="F409">
        <v>3</v>
      </c>
      <c r="G409">
        <v>2.6</v>
      </c>
      <c r="H409">
        <v>0.4</v>
      </c>
      <c r="I409" t="s">
        <v>40</v>
      </c>
      <c r="J409">
        <v>9</v>
      </c>
      <c r="K409">
        <v>7</v>
      </c>
      <c r="L409">
        <v>3</v>
      </c>
      <c r="M409">
        <v>0</v>
      </c>
    </row>
    <row r="410" spans="1:13" x14ac:dyDescent="0.25">
      <c r="A410">
        <v>13</v>
      </c>
      <c r="B410" t="s">
        <v>37</v>
      </c>
      <c r="C410">
        <v>5.3</v>
      </c>
      <c r="D410" t="s">
        <v>38</v>
      </c>
      <c r="E410">
        <v>6.5</v>
      </c>
      <c r="F410">
        <v>1.1000000000000001</v>
      </c>
      <c r="G410">
        <v>3.48</v>
      </c>
      <c r="H410">
        <v>1.8</v>
      </c>
      <c r="I410" t="s">
        <v>36</v>
      </c>
      <c r="J410">
        <v>9</v>
      </c>
      <c r="K410">
        <v>5</v>
      </c>
      <c r="L410">
        <v>4</v>
      </c>
      <c r="M410">
        <v>0</v>
      </c>
    </row>
    <row r="411" spans="1:13" x14ac:dyDescent="0.25">
      <c r="A411">
        <v>15</v>
      </c>
      <c r="B411" t="s">
        <v>37</v>
      </c>
      <c r="C411">
        <v>5.7</v>
      </c>
      <c r="D411" t="s">
        <v>35</v>
      </c>
      <c r="E411">
        <v>7.5</v>
      </c>
      <c r="F411">
        <v>2.4</v>
      </c>
      <c r="G411">
        <v>2.84</v>
      </c>
      <c r="H411">
        <v>1.3</v>
      </c>
      <c r="I411" t="s">
        <v>40</v>
      </c>
      <c r="J411">
        <v>10</v>
      </c>
      <c r="K411">
        <v>10</v>
      </c>
      <c r="L411">
        <v>2</v>
      </c>
      <c r="M411">
        <v>0</v>
      </c>
    </row>
    <row r="412" spans="1:13" x14ac:dyDescent="0.25">
      <c r="A412">
        <v>18</v>
      </c>
      <c r="B412" t="s">
        <v>37</v>
      </c>
      <c r="C412">
        <v>2.8</v>
      </c>
      <c r="D412" t="s">
        <v>35</v>
      </c>
      <c r="E412">
        <v>7.4</v>
      </c>
      <c r="F412">
        <v>1</v>
      </c>
      <c r="G412">
        <v>3.73</v>
      </c>
      <c r="H412">
        <v>1.9</v>
      </c>
      <c r="I412" t="s">
        <v>36</v>
      </c>
      <c r="J412">
        <v>7</v>
      </c>
      <c r="K412">
        <v>3</v>
      </c>
      <c r="L412">
        <v>6</v>
      </c>
      <c r="M412">
        <v>0</v>
      </c>
    </row>
    <row r="413" spans="1:13" x14ac:dyDescent="0.25">
      <c r="A413">
        <v>15</v>
      </c>
      <c r="B413" t="s">
        <v>34</v>
      </c>
      <c r="C413">
        <v>2.8</v>
      </c>
      <c r="D413" t="s">
        <v>38</v>
      </c>
      <c r="E413">
        <v>6.1</v>
      </c>
      <c r="F413">
        <v>2.9</v>
      </c>
      <c r="G413">
        <v>2.98</v>
      </c>
      <c r="H413">
        <v>1.8</v>
      </c>
      <c r="I413" t="s">
        <v>40</v>
      </c>
      <c r="J413">
        <v>6</v>
      </c>
      <c r="K413">
        <v>3</v>
      </c>
      <c r="L413">
        <v>7</v>
      </c>
      <c r="M413">
        <v>0</v>
      </c>
    </row>
    <row r="414" spans="1:13" x14ac:dyDescent="0.25">
      <c r="A414">
        <v>13</v>
      </c>
      <c r="B414" t="s">
        <v>37</v>
      </c>
      <c r="C414">
        <v>1.1000000000000001</v>
      </c>
      <c r="D414" t="s">
        <v>35</v>
      </c>
      <c r="E414">
        <v>7</v>
      </c>
      <c r="F414">
        <v>1.9</v>
      </c>
      <c r="G414">
        <v>4</v>
      </c>
      <c r="H414">
        <v>0.9</v>
      </c>
      <c r="I414" t="s">
        <v>40</v>
      </c>
      <c r="J414">
        <v>2</v>
      </c>
      <c r="K414">
        <v>9</v>
      </c>
      <c r="L414">
        <v>6</v>
      </c>
      <c r="M414">
        <v>0</v>
      </c>
    </row>
    <row r="415" spans="1:13" x14ac:dyDescent="0.25">
      <c r="A415">
        <v>14</v>
      </c>
      <c r="B415" t="s">
        <v>37</v>
      </c>
      <c r="C415">
        <v>2</v>
      </c>
      <c r="D415" t="s">
        <v>41</v>
      </c>
      <c r="E415">
        <v>5</v>
      </c>
      <c r="F415">
        <v>2.6</v>
      </c>
      <c r="G415">
        <v>2.71</v>
      </c>
      <c r="H415">
        <v>2</v>
      </c>
      <c r="I415" t="s">
        <v>36</v>
      </c>
      <c r="J415">
        <v>5</v>
      </c>
      <c r="K415">
        <v>4</v>
      </c>
      <c r="L415">
        <v>3</v>
      </c>
      <c r="M415">
        <v>0</v>
      </c>
    </row>
    <row r="416" spans="1:13" x14ac:dyDescent="0.25">
      <c r="A416">
        <v>16</v>
      </c>
      <c r="B416" t="s">
        <v>37</v>
      </c>
      <c r="C416">
        <v>6.5</v>
      </c>
      <c r="D416" t="s">
        <v>38</v>
      </c>
      <c r="E416">
        <v>5.3</v>
      </c>
      <c r="F416">
        <v>1.8</v>
      </c>
      <c r="G416">
        <v>2.29</v>
      </c>
      <c r="H416">
        <v>0.2</v>
      </c>
      <c r="I416" t="s">
        <v>39</v>
      </c>
      <c r="J416">
        <v>4</v>
      </c>
      <c r="K416">
        <v>10</v>
      </c>
      <c r="L416">
        <v>2</v>
      </c>
      <c r="M416">
        <v>0</v>
      </c>
    </row>
    <row r="417" spans="1:13" x14ac:dyDescent="0.25">
      <c r="A417">
        <v>16</v>
      </c>
      <c r="B417" t="s">
        <v>37</v>
      </c>
      <c r="C417">
        <v>7.5</v>
      </c>
      <c r="D417" t="s">
        <v>38</v>
      </c>
      <c r="E417">
        <v>7.8</v>
      </c>
      <c r="F417">
        <v>1.3</v>
      </c>
      <c r="G417">
        <v>2.73</v>
      </c>
      <c r="H417">
        <v>1.5</v>
      </c>
      <c r="I417" t="s">
        <v>40</v>
      </c>
      <c r="J417">
        <v>4</v>
      </c>
      <c r="K417">
        <v>5</v>
      </c>
      <c r="L417">
        <v>8</v>
      </c>
      <c r="M417">
        <v>0</v>
      </c>
    </row>
    <row r="418" spans="1:13" x14ac:dyDescent="0.25">
      <c r="A418">
        <v>16</v>
      </c>
      <c r="B418" t="s">
        <v>37</v>
      </c>
      <c r="C418">
        <v>3.1</v>
      </c>
      <c r="D418" t="s">
        <v>35</v>
      </c>
      <c r="E418">
        <v>7.9</v>
      </c>
      <c r="F418">
        <v>1.2</v>
      </c>
      <c r="G418">
        <v>2.85</v>
      </c>
      <c r="H418">
        <v>0.7</v>
      </c>
      <c r="I418" t="s">
        <v>39</v>
      </c>
      <c r="J418">
        <v>2</v>
      </c>
      <c r="K418">
        <v>2</v>
      </c>
      <c r="L418">
        <v>5</v>
      </c>
      <c r="M418">
        <v>0</v>
      </c>
    </row>
    <row r="419" spans="1:13" x14ac:dyDescent="0.25">
      <c r="A419">
        <v>19</v>
      </c>
      <c r="B419" t="s">
        <v>34</v>
      </c>
      <c r="C419">
        <v>5.9</v>
      </c>
      <c r="D419" t="s">
        <v>41</v>
      </c>
      <c r="E419">
        <v>7</v>
      </c>
      <c r="F419">
        <v>2.2999999999999998</v>
      </c>
      <c r="G419">
        <v>3</v>
      </c>
      <c r="H419">
        <v>1.6</v>
      </c>
      <c r="I419" t="s">
        <v>36</v>
      </c>
      <c r="J419">
        <v>3</v>
      </c>
      <c r="K419">
        <v>5</v>
      </c>
      <c r="L419">
        <v>10</v>
      </c>
      <c r="M419">
        <v>0</v>
      </c>
    </row>
    <row r="420" spans="1:13" x14ac:dyDescent="0.25">
      <c r="A420">
        <v>15</v>
      </c>
      <c r="B420" t="s">
        <v>34</v>
      </c>
      <c r="C420">
        <v>7.9</v>
      </c>
      <c r="D420" t="s">
        <v>38</v>
      </c>
      <c r="E420">
        <v>4.0999999999999996</v>
      </c>
      <c r="F420">
        <v>0.7</v>
      </c>
      <c r="G420">
        <v>2.33</v>
      </c>
      <c r="H420">
        <v>1.2</v>
      </c>
      <c r="I420" t="s">
        <v>40</v>
      </c>
      <c r="J420">
        <v>3</v>
      </c>
      <c r="K420">
        <v>8</v>
      </c>
      <c r="L420">
        <v>1</v>
      </c>
      <c r="M420">
        <v>0</v>
      </c>
    </row>
    <row r="421" spans="1:13" x14ac:dyDescent="0.25">
      <c r="A421">
        <v>15</v>
      </c>
      <c r="B421" t="s">
        <v>34</v>
      </c>
      <c r="C421">
        <v>5.0999999999999996</v>
      </c>
      <c r="D421" t="s">
        <v>35</v>
      </c>
      <c r="E421">
        <v>7.4</v>
      </c>
      <c r="F421">
        <v>0.7</v>
      </c>
      <c r="G421">
        <v>2.64</v>
      </c>
      <c r="H421">
        <v>0.2</v>
      </c>
      <c r="I421" t="s">
        <v>40</v>
      </c>
      <c r="J421">
        <v>5</v>
      </c>
      <c r="K421">
        <v>8</v>
      </c>
      <c r="L421">
        <v>1</v>
      </c>
      <c r="M421">
        <v>0</v>
      </c>
    </row>
    <row r="422" spans="1:13" x14ac:dyDescent="0.25">
      <c r="A422">
        <v>16</v>
      </c>
      <c r="B422" t="s">
        <v>34</v>
      </c>
      <c r="C422">
        <v>1.9</v>
      </c>
      <c r="D422" t="s">
        <v>41</v>
      </c>
      <c r="E422">
        <v>5.8</v>
      </c>
      <c r="F422">
        <v>2.1</v>
      </c>
      <c r="G422">
        <v>2.27</v>
      </c>
      <c r="H422">
        <v>0.6</v>
      </c>
      <c r="I422" t="s">
        <v>40</v>
      </c>
      <c r="J422">
        <v>3</v>
      </c>
      <c r="K422">
        <v>3</v>
      </c>
      <c r="L422">
        <v>2</v>
      </c>
      <c r="M422">
        <v>0</v>
      </c>
    </row>
    <row r="423" spans="1:13" x14ac:dyDescent="0.25">
      <c r="A423">
        <v>17</v>
      </c>
      <c r="B423" t="s">
        <v>34</v>
      </c>
      <c r="C423">
        <v>8</v>
      </c>
      <c r="D423" t="s">
        <v>35</v>
      </c>
      <c r="E423">
        <v>8.6999999999999993</v>
      </c>
      <c r="F423">
        <v>1.5</v>
      </c>
      <c r="G423">
        <v>3.7</v>
      </c>
      <c r="H423">
        <v>2</v>
      </c>
      <c r="I423" t="s">
        <v>39</v>
      </c>
      <c r="J423">
        <v>10</v>
      </c>
      <c r="K423">
        <v>9</v>
      </c>
      <c r="L423">
        <v>5</v>
      </c>
      <c r="M423">
        <v>0</v>
      </c>
    </row>
    <row r="424" spans="1:13" x14ac:dyDescent="0.25">
      <c r="A424">
        <v>19</v>
      </c>
      <c r="B424" t="s">
        <v>34</v>
      </c>
      <c r="C424">
        <v>2.9</v>
      </c>
      <c r="D424" t="s">
        <v>41</v>
      </c>
      <c r="E424">
        <v>4</v>
      </c>
      <c r="F424">
        <v>0.5</v>
      </c>
      <c r="G424">
        <v>3.16</v>
      </c>
      <c r="H424">
        <v>0.2</v>
      </c>
      <c r="I424" t="s">
        <v>39</v>
      </c>
      <c r="J424">
        <v>7</v>
      </c>
      <c r="K424">
        <v>6</v>
      </c>
      <c r="L424">
        <v>3</v>
      </c>
      <c r="M424">
        <v>0</v>
      </c>
    </row>
    <row r="425" spans="1:13" x14ac:dyDescent="0.25">
      <c r="A425">
        <v>14</v>
      </c>
      <c r="B425" t="s">
        <v>34</v>
      </c>
      <c r="C425">
        <v>4.3</v>
      </c>
      <c r="D425" t="s">
        <v>35</v>
      </c>
      <c r="E425">
        <v>8.4</v>
      </c>
      <c r="F425">
        <v>0.9</v>
      </c>
      <c r="G425">
        <v>3.2</v>
      </c>
      <c r="H425">
        <v>1.6</v>
      </c>
      <c r="I425" t="s">
        <v>39</v>
      </c>
      <c r="J425">
        <v>10</v>
      </c>
      <c r="K425">
        <v>10</v>
      </c>
      <c r="L425">
        <v>1</v>
      </c>
      <c r="M425">
        <v>0</v>
      </c>
    </row>
    <row r="426" spans="1:13" x14ac:dyDescent="0.25">
      <c r="A426">
        <v>16</v>
      </c>
      <c r="B426" t="s">
        <v>34</v>
      </c>
      <c r="C426">
        <v>1.1000000000000001</v>
      </c>
      <c r="D426" t="s">
        <v>35</v>
      </c>
      <c r="E426">
        <v>6.4</v>
      </c>
      <c r="F426">
        <v>3</v>
      </c>
      <c r="G426">
        <v>2.5099999999999998</v>
      </c>
      <c r="H426">
        <v>0.1</v>
      </c>
      <c r="I426" t="s">
        <v>40</v>
      </c>
      <c r="J426">
        <v>8</v>
      </c>
      <c r="K426">
        <v>6</v>
      </c>
      <c r="L426">
        <v>9</v>
      </c>
      <c r="M426">
        <v>0</v>
      </c>
    </row>
    <row r="427" spans="1:13" x14ac:dyDescent="0.25">
      <c r="A427">
        <v>16</v>
      </c>
      <c r="B427" t="s">
        <v>34</v>
      </c>
      <c r="C427">
        <v>4.9000000000000004</v>
      </c>
      <c r="D427" t="s">
        <v>35</v>
      </c>
      <c r="E427">
        <v>5.7</v>
      </c>
      <c r="F427">
        <v>1.2</v>
      </c>
      <c r="G427">
        <v>2.0699999999999998</v>
      </c>
      <c r="H427">
        <v>0.1</v>
      </c>
      <c r="I427" t="s">
        <v>40</v>
      </c>
      <c r="J427">
        <v>8</v>
      </c>
      <c r="K427">
        <v>2</v>
      </c>
      <c r="L427">
        <v>1</v>
      </c>
      <c r="M427">
        <v>0</v>
      </c>
    </row>
    <row r="428" spans="1:13" x14ac:dyDescent="0.25">
      <c r="A428">
        <v>14</v>
      </c>
      <c r="B428" t="s">
        <v>34</v>
      </c>
      <c r="C428">
        <v>6.1</v>
      </c>
      <c r="D428" t="s">
        <v>41</v>
      </c>
      <c r="E428">
        <v>7.6</v>
      </c>
      <c r="F428">
        <v>1.4</v>
      </c>
      <c r="G428">
        <v>2.72</v>
      </c>
      <c r="H428">
        <v>0.9</v>
      </c>
      <c r="I428" t="s">
        <v>36</v>
      </c>
      <c r="J428">
        <v>9</v>
      </c>
      <c r="K428">
        <v>3</v>
      </c>
      <c r="L428">
        <v>3</v>
      </c>
      <c r="M428">
        <v>0</v>
      </c>
    </row>
    <row r="429" spans="1:13" x14ac:dyDescent="0.25">
      <c r="A429">
        <v>15</v>
      </c>
      <c r="B429" t="s">
        <v>37</v>
      </c>
      <c r="C429">
        <v>2.7</v>
      </c>
      <c r="D429" t="s">
        <v>41</v>
      </c>
      <c r="E429">
        <v>6.5</v>
      </c>
      <c r="F429">
        <v>1.6</v>
      </c>
      <c r="G429">
        <v>2.14</v>
      </c>
      <c r="H429">
        <v>0.4</v>
      </c>
      <c r="I429" t="s">
        <v>39</v>
      </c>
      <c r="J429">
        <v>6</v>
      </c>
      <c r="K429">
        <v>6</v>
      </c>
      <c r="L429">
        <v>6</v>
      </c>
      <c r="M429">
        <v>0</v>
      </c>
    </row>
    <row r="430" spans="1:13" x14ac:dyDescent="0.25">
      <c r="A430">
        <v>16</v>
      </c>
      <c r="B430" t="s">
        <v>37</v>
      </c>
      <c r="C430">
        <v>7.8</v>
      </c>
      <c r="D430" t="s">
        <v>41</v>
      </c>
      <c r="E430">
        <v>7.4</v>
      </c>
      <c r="F430">
        <v>0.7</v>
      </c>
      <c r="G430">
        <v>2.54</v>
      </c>
      <c r="H430">
        <v>1.2</v>
      </c>
      <c r="I430" t="s">
        <v>40</v>
      </c>
      <c r="J430">
        <v>10</v>
      </c>
      <c r="K430">
        <v>4</v>
      </c>
      <c r="L430">
        <v>9</v>
      </c>
      <c r="M430">
        <v>0</v>
      </c>
    </row>
    <row r="431" spans="1:13" x14ac:dyDescent="0.25">
      <c r="A431">
        <v>18</v>
      </c>
      <c r="B431" t="s">
        <v>34</v>
      </c>
      <c r="C431">
        <v>4.2</v>
      </c>
      <c r="D431" t="s">
        <v>38</v>
      </c>
      <c r="E431">
        <v>6.5</v>
      </c>
      <c r="F431">
        <v>1.4</v>
      </c>
      <c r="G431">
        <v>2.91</v>
      </c>
      <c r="H431">
        <v>1.5</v>
      </c>
      <c r="I431" t="s">
        <v>36</v>
      </c>
      <c r="J431">
        <v>5</v>
      </c>
      <c r="K431">
        <v>6</v>
      </c>
      <c r="L431">
        <v>4</v>
      </c>
      <c r="M431">
        <v>0</v>
      </c>
    </row>
    <row r="432" spans="1:13" x14ac:dyDescent="0.25">
      <c r="A432">
        <v>13</v>
      </c>
      <c r="B432" t="s">
        <v>37</v>
      </c>
      <c r="C432">
        <v>4.4000000000000004</v>
      </c>
      <c r="D432" t="s">
        <v>35</v>
      </c>
      <c r="E432">
        <v>5.5</v>
      </c>
      <c r="F432">
        <v>2.7</v>
      </c>
      <c r="G432">
        <v>3.17</v>
      </c>
      <c r="H432">
        <v>0.3</v>
      </c>
      <c r="I432" t="s">
        <v>36</v>
      </c>
      <c r="J432">
        <v>5</v>
      </c>
      <c r="K432">
        <v>1</v>
      </c>
      <c r="L432">
        <v>5</v>
      </c>
      <c r="M432">
        <v>0</v>
      </c>
    </row>
    <row r="433" spans="1:13" x14ac:dyDescent="0.25">
      <c r="A433">
        <v>13</v>
      </c>
      <c r="B433" t="s">
        <v>37</v>
      </c>
      <c r="C433">
        <v>1.4</v>
      </c>
      <c r="D433" t="s">
        <v>41</v>
      </c>
      <c r="E433">
        <v>7.8</v>
      </c>
      <c r="F433">
        <v>0.6</v>
      </c>
      <c r="G433">
        <v>3.42</v>
      </c>
      <c r="H433">
        <v>1.6</v>
      </c>
      <c r="I433" t="s">
        <v>40</v>
      </c>
      <c r="J433">
        <v>10</v>
      </c>
      <c r="K433">
        <v>4</v>
      </c>
      <c r="L433">
        <v>6</v>
      </c>
      <c r="M433">
        <v>0</v>
      </c>
    </row>
    <row r="434" spans="1:13" x14ac:dyDescent="0.25">
      <c r="A434">
        <v>17</v>
      </c>
      <c r="B434" t="s">
        <v>34</v>
      </c>
      <c r="C434">
        <v>3.7</v>
      </c>
      <c r="D434" t="s">
        <v>38</v>
      </c>
      <c r="E434">
        <v>7.2</v>
      </c>
      <c r="F434">
        <v>0.6</v>
      </c>
      <c r="G434">
        <v>3.34</v>
      </c>
      <c r="H434">
        <v>1.8</v>
      </c>
      <c r="I434" t="s">
        <v>39</v>
      </c>
      <c r="J434">
        <v>2</v>
      </c>
      <c r="K434">
        <v>6</v>
      </c>
      <c r="L434">
        <v>2</v>
      </c>
      <c r="M434">
        <v>0</v>
      </c>
    </row>
    <row r="435" spans="1:13" x14ac:dyDescent="0.25">
      <c r="A435">
        <v>14</v>
      </c>
      <c r="B435" t="s">
        <v>34</v>
      </c>
      <c r="C435">
        <v>3.8</v>
      </c>
      <c r="D435" t="s">
        <v>35</v>
      </c>
      <c r="E435">
        <v>8.9</v>
      </c>
      <c r="F435">
        <v>1.9</v>
      </c>
      <c r="G435">
        <v>2.77</v>
      </c>
      <c r="H435">
        <v>0.2</v>
      </c>
      <c r="I435" t="s">
        <v>40</v>
      </c>
      <c r="J435">
        <v>6</v>
      </c>
      <c r="K435">
        <v>2</v>
      </c>
      <c r="L435">
        <v>2</v>
      </c>
      <c r="M435">
        <v>0</v>
      </c>
    </row>
    <row r="436" spans="1:13" x14ac:dyDescent="0.25">
      <c r="A436">
        <v>15</v>
      </c>
      <c r="B436" t="s">
        <v>37</v>
      </c>
      <c r="C436">
        <v>5.4</v>
      </c>
      <c r="D436" t="s">
        <v>38</v>
      </c>
      <c r="E436">
        <v>7</v>
      </c>
      <c r="F436">
        <v>1.8</v>
      </c>
      <c r="G436">
        <v>2.54</v>
      </c>
      <c r="H436">
        <v>0.1</v>
      </c>
      <c r="I436" t="s">
        <v>36</v>
      </c>
      <c r="J436">
        <v>1</v>
      </c>
      <c r="K436">
        <v>4</v>
      </c>
      <c r="L436">
        <v>4</v>
      </c>
      <c r="M436">
        <v>0</v>
      </c>
    </row>
    <row r="437" spans="1:13" x14ac:dyDescent="0.25">
      <c r="A437">
        <v>17</v>
      </c>
      <c r="B437" t="s">
        <v>34</v>
      </c>
      <c r="C437">
        <v>4</v>
      </c>
      <c r="D437" t="s">
        <v>41</v>
      </c>
      <c r="E437">
        <v>4.3</v>
      </c>
      <c r="F437">
        <v>1.8</v>
      </c>
      <c r="G437">
        <v>2.17</v>
      </c>
      <c r="H437">
        <v>0.9</v>
      </c>
      <c r="I437" t="s">
        <v>39</v>
      </c>
      <c r="J437">
        <v>8</v>
      </c>
      <c r="K437">
        <v>8</v>
      </c>
      <c r="L437">
        <v>3</v>
      </c>
      <c r="M437">
        <v>0</v>
      </c>
    </row>
    <row r="438" spans="1:13" x14ac:dyDescent="0.25">
      <c r="A438">
        <v>19</v>
      </c>
      <c r="B438" t="s">
        <v>34</v>
      </c>
      <c r="C438">
        <v>3.5</v>
      </c>
      <c r="D438" t="s">
        <v>38</v>
      </c>
      <c r="E438">
        <v>5.8</v>
      </c>
      <c r="F438">
        <v>1.8</v>
      </c>
      <c r="G438">
        <v>3.3</v>
      </c>
      <c r="H438">
        <v>0.9</v>
      </c>
      <c r="I438" t="s">
        <v>36</v>
      </c>
      <c r="J438">
        <v>7</v>
      </c>
      <c r="K438">
        <v>6</v>
      </c>
      <c r="L438">
        <v>9</v>
      </c>
      <c r="M438">
        <v>0</v>
      </c>
    </row>
    <row r="439" spans="1:13" x14ac:dyDescent="0.25">
      <c r="A439">
        <v>17</v>
      </c>
      <c r="B439" t="s">
        <v>34</v>
      </c>
      <c r="C439">
        <v>1.3</v>
      </c>
      <c r="D439" t="s">
        <v>41</v>
      </c>
      <c r="E439">
        <v>8.3000000000000007</v>
      </c>
      <c r="F439">
        <v>1</v>
      </c>
      <c r="G439">
        <v>3.95</v>
      </c>
      <c r="H439">
        <v>1.2</v>
      </c>
      <c r="I439" t="s">
        <v>40</v>
      </c>
      <c r="J439">
        <v>4</v>
      </c>
      <c r="K439">
        <v>1</v>
      </c>
      <c r="L439">
        <v>1</v>
      </c>
      <c r="M439">
        <v>0</v>
      </c>
    </row>
    <row r="440" spans="1:13" x14ac:dyDescent="0.25">
      <c r="A440">
        <v>14</v>
      </c>
      <c r="B440" t="s">
        <v>34</v>
      </c>
      <c r="C440">
        <v>5.6</v>
      </c>
      <c r="D440" t="s">
        <v>35</v>
      </c>
      <c r="E440">
        <v>8.8000000000000007</v>
      </c>
      <c r="F440">
        <v>0.9</v>
      </c>
      <c r="G440">
        <v>3.03</v>
      </c>
      <c r="H440">
        <v>2</v>
      </c>
      <c r="I440" t="s">
        <v>36</v>
      </c>
      <c r="J440">
        <v>8</v>
      </c>
      <c r="K440">
        <v>10</v>
      </c>
      <c r="L440">
        <v>3</v>
      </c>
      <c r="M440">
        <v>0</v>
      </c>
    </row>
    <row r="441" spans="1:13" x14ac:dyDescent="0.25">
      <c r="A441">
        <v>13</v>
      </c>
      <c r="B441" t="s">
        <v>37</v>
      </c>
      <c r="C441">
        <v>2.4</v>
      </c>
      <c r="D441" t="s">
        <v>35</v>
      </c>
      <c r="E441">
        <v>5.5</v>
      </c>
      <c r="F441">
        <v>0.6</v>
      </c>
      <c r="G441">
        <v>3.56</v>
      </c>
      <c r="H441">
        <v>1.6</v>
      </c>
      <c r="I441" t="s">
        <v>40</v>
      </c>
      <c r="J441">
        <v>4</v>
      </c>
      <c r="K441">
        <v>8</v>
      </c>
      <c r="L441">
        <v>7</v>
      </c>
      <c r="M441">
        <v>0</v>
      </c>
    </row>
    <row r="442" spans="1:13" x14ac:dyDescent="0.25">
      <c r="A442">
        <v>16</v>
      </c>
      <c r="B442" t="s">
        <v>34</v>
      </c>
      <c r="C442">
        <v>2</v>
      </c>
      <c r="D442" t="s">
        <v>41</v>
      </c>
      <c r="E442">
        <v>7.8</v>
      </c>
      <c r="F442">
        <v>2.8</v>
      </c>
      <c r="G442">
        <v>2.1</v>
      </c>
      <c r="H442">
        <v>0.6</v>
      </c>
      <c r="I442" t="s">
        <v>40</v>
      </c>
      <c r="J442">
        <v>2</v>
      </c>
      <c r="K442">
        <v>6</v>
      </c>
      <c r="L442">
        <v>8</v>
      </c>
      <c r="M442">
        <v>0</v>
      </c>
    </row>
    <row r="443" spans="1:13" x14ac:dyDescent="0.25">
      <c r="A443">
        <v>15</v>
      </c>
      <c r="B443" t="s">
        <v>34</v>
      </c>
      <c r="C443">
        <v>6.6</v>
      </c>
      <c r="D443" t="s">
        <v>35</v>
      </c>
      <c r="E443">
        <v>8.6</v>
      </c>
      <c r="F443">
        <v>1.5</v>
      </c>
      <c r="G443">
        <v>2.63</v>
      </c>
      <c r="H443">
        <v>1.1000000000000001</v>
      </c>
      <c r="I443" t="s">
        <v>36</v>
      </c>
      <c r="J443">
        <v>1</v>
      </c>
      <c r="K443">
        <v>9</v>
      </c>
      <c r="L443">
        <v>9</v>
      </c>
      <c r="M443">
        <v>0</v>
      </c>
    </row>
    <row r="444" spans="1:13" x14ac:dyDescent="0.25">
      <c r="A444">
        <v>17</v>
      </c>
      <c r="B444" t="s">
        <v>37</v>
      </c>
      <c r="C444">
        <v>2.2999999999999998</v>
      </c>
      <c r="D444" t="s">
        <v>38</v>
      </c>
      <c r="E444">
        <v>6.4</v>
      </c>
      <c r="F444">
        <v>2.4</v>
      </c>
      <c r="G444">
        <v>3.61</v>
      </c>
      <c r="H444">
        <v>0.6</v>
      </c>
      <c r="I444" t="s">
        <v>40</v>
      </c>
      <c r="J444">
        <v>2</v>
      </c>
      <c r="K444">
        <v>1</v>
      </c>
      <c r="L444">
        <v>1</v>
      </c>
      <c r="M444">
        <v>0</v>
      </c>
    </row>
    <row r="445" spans="1:13" x14ac:dyDescent="0.25">
      <c r="A445">
        <v>16</v>
      </c>
      <c r="B445" t="s">
        <v>34</v>
      </c>
      <c r="C445">
        <v>6.4</v>
      </c>
      <c r="D445" t="s">
        <v>38</v>
      </c>
      <c r="E445">
        <v>5.4</v>
      </c>
      <c r="F445">
        <v>1.4</v>
      </c>
      <c r="G445">
        <v>2.42</v>
      </c>
      <c r="H445">
        <v>1.9</v>
      </c>
      <c r="I445" t="s">
        <v>40</v>
      </c>
      <c r="J445">
        <v>4</v>
      </c>
      <c r="K445">
        <v>9</v>
      </c>
      <c r="L445">
        <v>5</v>
      </c>
      <c r="M445">
        <v>0</v>
      </c>
    </row>
    <row r="446" spans="1:13" x14ac:dyDescent="0.25">
      <c r="A446">
        <v>18</v>
      </c>
      <c r="B446" t="s">
        <v>37</v>
      </c>
      <c r="C446">
        <v>3.5</v>
      </c>
      <c r="D446" t="s">
        <v>41</v>
      </c>
      <c r="E446">
        <v>5.9</v>
      </c>
      <c r="F446">
        <v>1.3</v>
      </c>
      <c r="G446">
        <v>3.68</v>
      </c>
      <c r="H446">
        <v>2</v>
      </c>
      <c r="I446" t="s">
        <v>40</v>
      </c>
      <c r="J446">
        <v>7</v>
      </c>
      <c r="K446">
        <v>4</v>
      </c>
      <c r="L446">
        <v>10</v>
      </c>
      <c r="M446">
        <v>0</v>
      </c>
    </row>
    <row r="447" spans="1:13" x14ac:dyDescent="0.25">
      <c r="A447">
        <v>18</v>
      </c>
      <c r="B447" t="s">
        <v>37</v>
      </c>
      <c r="C447">
        <v>1.7</v>
      </c>
      <c r="D447" t="s">
        <v>35</v>
      </c>
      <c r="E447">
        <v>8.5</v>
      </c>
      <c r="F447">
        <v>1</v>
      </c>
      <c r="G447">
        <v>3.32</v>
      </c>
      <c r="H447">
        <v>1.3</v>
      </c>
      <c r="I447" t="s">
        <v>40</v>
      </c>
      <c r="J447">
        <v>1</v>
      </c>
      <c r="K447">
        <v>1</v>
      </c>
      <c r="L447">
        <v>7</v>
      </c>
      <c r="M447">
        <v>0</v>
      </c>
    </row>
    <row r="448" spans="1:13" x14ac:dyDescent="0.25">
      <c r="A448">
        <v>14</v>
      </c>
      <c r="B448" t="s">
        <v>34</v>
      </c>
      <c r="C448">
        <v>4.0999999999999996</v>
      </c>
      <c r="D448" t="s">
        <v>35</v>
      </c>
      <c r="E448">
        <v>8.1999999999999993</v>
      </c>
      <c r="F448">
        <v>1.7</v>
      </c>
      <c r="G448">
        <v>2.3199999999999998</v>
      </c>
      <c r="H448">
        <v>1.4</v>
      </c>
      <c r="I448" t="s">
        <v>39</v>
      </c>
      <c r="J448">
        <v>9</v>
      </c>
      <c r="K448">
        <v>2</v>
      </c>
      <c r="L448">
        <v>4</v>
      </c>
      <c r="M448">
        <v>0</v>
      </c>
    </row>
    <row r="449" spans="1:13" x14ac:dyDescent="0.25">
      <c r="A449">
        <v>14</v>
      </c>
      <c r="B449" t="s">
        <v>34</v>
      </c>
      <c r="C449">
        <v>3.3</v>
      </c>
      <c r="D449" t="s">
        <v>35</v>
      </c>
      <c r="E449">
        <v>6.5</v>
      </c>
      <c r="F449">
        <v>0.8</v>
      </c>
      <c r="G449">
        <v>2.54</v>
      </c>
      <c r="H449">
        <v>0.8</v>
      </c>
      <c r="I449" t="s">
        <v>36</v>
      </c>
      <c r="J449">
        <v>1</v>
      </c>
      <c r="K449">
        <v>2</v>
      </c>
      <c r="L449">
        <v>3</v>
      </c>
      <c r="M449">
        <v>0</v>
      </c>
    </row>
    <row r="450" spans="1:13" x14ac:dyDescent="0.25">
      <c r="A450">
        <v>14</v>
      </c>
      <c r="B450" t="s">
        <v>37</v>
      </c>
      <c r="C450">
        <v>5</v>
      </c>
      <c r="D450" t="s">
        <v>38</v>
      </c>
      <c r="E450">
        <v>4.9000000000000004</v>
      </c>
      <c r="F450">
        <v>2.6</v>
      </c>
      <c r="G450">
        <v>3.82</v>
      </c>
      <c r="H450">
        <v>1.9</v>
      </c>
      <c r="I450" t="s">
        <v>40</v>
      </c>
      <c r="J450">
        <v>3</v>
      </c>
      <c r="K450">
        <v>10</v>
      </c>
      <c r="L450">
        <v>10</v>
      </c>
      <c r="M450">
        <v>0</v>
      </c>
    </row>
    <row r="451" spans="1:13" x14ac:dyDescent="0.25">
      <c r="A451">
        <v>19</v>
      </c>
      <c r="B451" t="s">
        <v>37</v>
      </c>
      <c r="C451">
        <v>1.5</v>
      </c>
      <c r="D451" t="s">
        <v>35</v>
      </c>
      <c r="E451">
        <v>8.4</v>
      </c>
      <c r="F451">
        <v>3</v>
      </c>
      <c r="G451">
        <v>2.46</v>
      </c>
      <c r="H451">
        <v>1.5</v>
      </c>
      <c r="I451" t="s">
        <v>39</v>
      </c>
      <c r="J451">
        <v>1</v>
      </c>
      <c r="K451">
        <v>7</v>
      </c>
      <c r="L451">
        <v>6</v>
      </c>
      <c r="M451">
        <v>0</v>
      </c>
    </row>
    <row r="452" spans="1:13" x14ac:dyDescent="0.25">
      <c r="A452">
        <v>17</v>
      </c>
      <c r="B452" t="s">
        <v>37</v>
      </c>
      <c r="C452">
        <v>3.3</v>
      </c>
      <c r="D452" t="s">
        <v>38</v>
      </c>
      <c r="E452">
        <v>8.4</v>
      </c>
      <c r="F452">
        <v>2.1</v>
      </c>
      <c r="G452">
        <v>3.4</v>
      </c>
      <c r="H452">
        <v>0.2</v>
      </c>
      <c r="I452" t="s">
        <v>39</v>
      </c>
      <c r="J452">
        <v>1</v>
      </c>
      <c r="K452">
        <v>3</v>
      </c>
      <c r="L452">
        <v>10</v>
      </c>
      <c r="M452">
        <v>0</v>
      </c>
    </row>
    <row r="453" spans="1:13" x14ac:dyDescent="0.25">
      <c r="A453">
        <v>13</v>
      </c>
      <c r="B453" t="s">
        <v>34</v>
      </c>
      <c r="C453">
        <v>6.4</v>
      </c>
      <c r="D453" t="s">
        <v>41</v>
      </c>
      <c r="E453">
        <v>4.0999999999999996</v>
      </c>
      <c r="F453">
        <v>1.3</v>
      </c>
      <c r="G453">
        <v>2.77</v>
      </c>
      <c r="H453">
        <v>1.3</v>
      </c>
      <c r="I453" t="s">
        <v>36</v>
      </c>
      <c r="J453">
        <v>10</v>
      </c>
      <c r="K453">
        <v>6</v>
      </c>
      <c r="L453">
        <v>1</v>
      </c>
      <c r="M453">
        <v>0</v>
      </c>
    </row>
    <row r="454" spans="1:13" x14ac:dyDescent="0.25">
      <c r="A454">
        <v>17</v>
      </c>
      <c r="B454" t="s">
        <v>37</v>
      </c>
      <c r="C454">
        <v>8</v>
      </c>
      <c r="D454" t="s">
        <v>35</v>
      </c>
      <c r="E454">
        <v>8.1</v>
      </c>
      <c r="F454">
        <v>1.2</v>
      </c>
      <c r="G454">
        <v>2.13</v>
      </c>
      <c r="H454">
        <v>1</v>
      </c>
      <c r="I454" t="s">
        <v>36</v>
      </c>
      <c r="J454">
        <v>1</v>
      </c>
      <c r="K454">
        <v>8</v>
      </c>
      <c r="L454">
        <v>7</v>
      </c>
      <c r="M454">
        <v>0</v>
      </c>
    </row>
    <row r="455" spans="1:13" x14ac:dyDescent="0.25">
      <c r="A455">
        <v>16</v>
      </c>
      <c r="B455" t="s">
        <v>37</v>
      </c>
      <c r="C455">
        <v>1</v>
      </c>
      <c r="D455" t="s">
        <v>41</v>
      </c>
      <c r="E455">
        <v>4.0999999999999996</v>
      </c>
      <c r="F455">
        <v>1.3</v>
      </c>
      <c r="G455">
        <v>2.2200000000000002</v>
      </c>
      <c r="H455">
        <v>0.4</v>
      </c>
      <c r="I455" t="s">
        <v>36</v>
      </c>
      <c r="J455">
        <v>2</v>
      </c>
      <c r="K455">
        <v>1</v>
      </c>
      <c r="L455">
        <v>8</v>
      </c>
      <c r="M455">
        <v>0</v>
      </c>
    </row>
    <row r="456" spans="1:13" x14ac:dyDescent="0.25">
      <c r="A456">
        <v>18</v>
      </c>
      <c r="B456" t="s">
        <v>37</v>
      </c>
      <c r="C456">
        <v>4.2</v>
      </c>
      <c r="D456" t="s">
        <v>35</v>
      </c>
      <c r="E456">
        <v>5.4</v>
      </c>
      <c r="F456">
        <v>1.1000000000000001</v>
      </c>
      <c r="G456">
        <v>2.31</v>
      </c>
      <c r="H456">
        <v>0.3</v>
      </c>
      <c r="I456" t="s">
        <v>36</v>
      </c>
      <c r="J456">
        <v>4</v>
      </c>
      <c r="K456">
        <v>9</v>
      </c>
      <c r="L456">
        <v>1</v>
      </c>
      <c r="M456">
        <v>0</v>
      </c>
    </row>
    <row r="457" spans="1:13" x14ac:dyDescent="0.25">
      <c r="A457">
        <v>18</v>
      </c>
      <c r="B457" t="s">
        <v>37</v>
      </c>
      <c r="C457">
        <v>4.5999999999999996</v>
      </c>
      <c r="D457" t="s">
        <v>38</v>
      </c>
      <c r="E457">
        <v>7.3</v>
      </c>
      <c r="F457">
        <v>2.8</v>
      </c>
      <c r="G457">
        <v>3.22</v>
      </c>
      <c r="H457">
        <v>0.6</v>
      </c>
      <c r="I457" t="s">
        <v>39</v>
      </c>
      <c r="J457">
        <v>1</v>
      </c>
      <c r="K457">
        <v>3</v>
      </c>
      <c r="L457">
        <v>6</v>
      </c>
      <c r="M457">
        <v>0</v>
      </c>
    </row>
    <row r="458" spans="1:13" x14ac:dyDescent="0.25">
      <c r="A458">
        <v>17</v>
      </c>
      <c r="B458" t="s">
        <v>37</v>
      </c>
      <c r="C458">
        <v>2.8</v>
      </c>
      <c r="D458" t="s">
        <v>41</v>
      </c>
      <c r="E458">
        <v>6.2</v>
      </c>
      <c r="F458">
        <v>2.4</v>
      </c>
      <c r="G458">
        <v>2.58</v>
      </c>
      <c r="H458">
        <v>0.4</v>
      </c>
      <c r="I458" t="s">
        <v>39</v>
      </c>
      <c r="J458">
        <v>4</v>
      </c>
      <c r="K458">
        <v>10</v>
      </c>
      <c r="L458">
        <v>9</v>
      </c>
      <c r="M458">
        <v>0</v>
      </c>
    </row>
    <row r="459" spans="1:13" x14ac:dyDescent="0.25">
      <c r="A459">
        <v>16</v>
      </c>
      <c r="B459" t="s">
        <v>37</v>
      </c>
      <c r="C459">
        <v>6.3</v>
      </c>
      <c r="D459" t="s">
        <v>35</v>
      </c>
      <c r="E459">
        <v>6.9</v>
      </c>
      <c r="F459">
        <v>1.3</v>
      </c>
      <c r="G459">
        <v>2.15</v>
      </c>
      <c r="H459">
        <v>1.4</v>
      </c>
      <c r="I459" t="s">
        <v>36</v>
      </c>
      <c r="J459">
        <v>9</v>
      </c>
      <c r="K459">
        <v>2</v>
      </c>
      <c r="L459">
        <v>10</v>
      </c>
      <c r="M459">
        <v>0</v>
      </c>
    </row>
    <row r="460" spans="1:13" x14ac:dyDescent="0.25">
      <c r="A460">
        <v>17</v>
      </c>
      <c r="B460" t="s">
        <v>37</v>
      </c>
      <c r="C460">
        <v>7.2</v>
      </c>
      <c r="D460" t="s">
        <v>38</v>
      </c>
      <c r="E460">
        <v>7</v>
      </c>
      <c r="F460">
        <v>1.3</v>
      </c>
      <c r="G460">
        <v>3.86</v>
      </c>
      <c r="H460">
        <v>0.9</v>
      </c>
      <c r="I460" t="s">
        <v>36</v>
      </c>
      <c r="J460">
        <v>7</v>
      </c>
      <c r="K460">
        <v>8</v>
      </c>
      <c r="L460">
        <v>4</v>
      </c>
      <c r="M460">
        <v>0</v>
      </c>
    </row>
    <row r="461" spans="1:13" x14ac:dyDescent="0.25">
      <c r="A461">
        <v>13</v>
      </c>
      <c r="B461" t="s">
        <v>34</v>
      </c>
      <c r="C461">
        <v>4.5</v>
      </c>
      <c r="D461" t="s">
        <v>41</v>
      </c>
      <c r="E461">
        <v>6.7</v>
      </c>
      <c r="F461">
        <v>2.2000000000000002</v>
      </c>
      <c r="G461">
        <v>3.73</v>
      </c>
      <c r="H461">
        <v>0.3</v>
      </c>
      <c r="I461" t="s">
        <v>36</v>
      </c>
      <c r="J461">
        <v>3</v>
      </c>
      <c r="K461">
        <v>5</v>
      </c>
      <c r="L461">
        <v>10</v>
      </c>
      <c r="M461">
        <v>0</v>
      </c>
    </row>
    <row r="462" spans="1:13" x14ac:dyDescent="0.25">
      <c r="A462">
        <v>18</v>
      </c>
      <c r="B462" t="s">
        <v>34</v>
      </c>
      <c r="C462">
        <v>5.3</v>
      </c>
      <c r="D462" t="s">
        <v>41</v>
      </c>
      <c r="E462">
        <v>5.0999999999999996</v>
      </c>
      <c r="F462">
        <v>1.2</v>
      </c>
      <c r="G462">
        <v>3.32</v>
      </c>
      <c r="H462">
        <v>1.8</v>
      </c>
      <c r="I462" t="s">
        <v>36</v>
      </c>
      <c r="J462">
        <v>7</v>
      </c>
      <c r="K462">
        <v>3</v>
      </c>
      <c r="L462">
        <v>8</v>
      </c>
      <c r="M462">
        <v>0</v>
      </c>
    </row>
    <row r="463" spans="1:13" x14ac:dyDescent="0.25">
      <c r="A463">
        <v>13</v>
      </c>
      <c r="B463" t="s">
        <v>34</v>
      </c>
      <c r="C463">
        <v>5.2</v>
      </c>
      <c r="D463" t="s">
        <v>38</v>
      </c>
      <c r="E463">
        <v>6.7</v>
      </c>
      <c r="F463">
        <v>2.5</v>
      </c>
      <c r="G463">
        <v>3.82</v>
      </c>
      <c r="H463">
        <v>0.9</v>
      </c>
      <c r="I463" t="s">
        <v>40</v>
      </c>
      <c r="J463">
        <v>8</v>
      </c>
      <c r="K463">
        <v>8</v>
      </c>
      <c r="L463">
        <v>6</v>
      </c>
      <c r="M463">
        <v>0</v>
      </c>
    </row>
    <row r="464" spans="1:13" x14ac:dyDescent="0.25">
      <c r="A464">
        <v>13</v>
      </c>
      <c r="B464" t="s">
        <v>34</v>
      </c>
      <c r="C464">
        <v>7.9</v>
      </c>
      <c r="D464" t="s">
        <v>38</v>
      </c>
      <c r="E464">
        <v>6</v>
      </c>
      <c r="F464">
        <v>2.7</v>
      </c>
      <c r="G464">
        <v>2.85</v>
      </c>
      <c r="H464">
        <v>0.3</v>
      </c>
      <c r="I464" t="s">
        <v>36</v>
      </c>
      <c r="J464">
        <v>9</v>
      </c>
      <c r="K464">
        <v>10</v>
      </c>
      <c r="L464">
        <v>3</v>
      </c>
      <c r="M464">
        <v>0</v>
      </c>
    </row>
    <row r="465" spans="1:13" x14ac:dyDescent="0.25">
      <c r="A465">
        <v>19</v>
      </c>
      <c r="B465" t="s">
        <v>34</v>
      </c>
      <c r="C465">
        <v>6.9</v>
      </c>
      <c r="D465" t="s">
        <v>38</v>
      </c>
      <c r="E465">
        <v>8.5</v>
      </c>
      <c r="F465">
        <v>1.5</v>
      </c>
      <c r="G465">
        <v>3.55</v>
      </c>
      <c r="H465">
        <v>1.3</v>
      </c>
      <c r="I465" t="s">
        <v>36</v>
      </c>
      <c r="J465">
        <v>5</v>
      </c>
      <c r="K465">
        <v>6</v>
      </c>
      <c r="L465">
        <v>1</v>
      </c>
      <c r="M465">
        <v>0</v>
      </c>
    </row>
    <row r="466" spans="1:13" x14ac:dyDescent="0.25">
      <c r="A466">
        <v>17</v>
      </c>
      <c r="B466" t="s">
        <v>37</v>
      </c>
      <c r="C466">
        <v>5.8</v>
      </c>
      <c r="D466" t="s">
        <v>35</v>
      </c>
      <c r="E466">
        <v>4.0999999999999996</v>
      </c>
      <c r="F466">
        <v>2.9</v>
      </c>
      <c r="G466">
        <v>2.33</v>
      </c>
      <c r="H466">
        <v>0.4</v>
      </c>
      <c r="I466" t="s">
        <v>39</v>
      </c>
      <c r="J466">
        <v>9</v>
      </c>
      <c r="K466">
        <v>6</v>
      </c>
      <c r="L466">
        <v>8</v>
      </c>
      <c r="M466">
        <v>0</v>
      </c>
    </row>
    <row r="467" spans="1:13" x14ac:dyDescent="0.25">
      <c r="A467">
        <v>19</v>
      </c>
      <c r="B467" t="s">
        <v>34</v>
      </c>
      <c r="C467">
        <v>7</v>
      </c>
      <c r="D467" t="s">
        <v>35</v>
      </c>
      <c r="E467">
        <v>8.3000000000000007</v>
      </c>
      <c r="F467">
        <v>2.1</v>
      </c>
      <c r="G467">
        <v>3.09</v>
      </c>
      <c r="H467">
        <v>1.5</v>
      </c>
      <c r="I467" t="s">
        <v>36</v>
      </c>
      <c r="J467">
        <v>9</v>
      </c>
      <c r="K467">
        <v>7</v>
      </c>
      <c r="L467">
        <v>3</v>
      </c>
      <c r="M467">
        <v>0</v>
      </c>
    </row>
    <row r="468" spans="1:13" x14ac:dyDescent="0.25">
      <c r="A468">
        <v>14</v>
      </c>
      <c r="B468" t="s">
        <v>37</v>
      </c>
      <c r="C468">
        <v>3</v>
      </c>
      <c r="D468" t="s">
        <v>38</v>
      </c>
      <c r="E468">
        <v>8.3000000000000007</v>
      </c>
      <c r="F468">
        <v>2.7</v>
      </c>
      <c r="G468">
        <v>3.9</v>
      </c>
      <c r="H468">
        <v>0.7</v>
      </c>
      <c r="I468" t="s">
        <v>39</v>
      </c>
      <c r="J468">
        <v>3</v>
      </c>
      <c r="K468">
        <v>1</v>
      </c>
      <c r="L468">
        <v>5</v>
      </c>
      <c r="M468">
        <v>0</v>
      </c>
    </row>
    <row r="469" spans="1:13" x14ac:dyDescent="0.25">
      <c r="A469">
        <v>18</v>
      </c>
      <c r="B469" t="s">
        <v>34</v>
      </c>
      <c r="C469">
        <v>6.3</v>
      </c>
      <c r="D469" t="s">
        <v>41</v>
      </c>
      <c r="E469">
        <v>7.9</v>
      </c>
      <c r="F469">
        <v>1.7</v>
      </c>
      <c r="G469">
        <v>2.85</v>
      </c>
      <c r="H469">
        <v>0.3</v>
      </c>
      <c r="I469" t="s">
        <v>40</v>
      </c>
      <c r="J469">
        <v>1</v>
      </c>
      <c r="K469">
        <v>1</v>
      </c>
      <c r="L469">
        <v>2</v>
      </c>
      <c r="M469">
        <v>0</v>
      </c>
    </row>
    <row r="470" spans="1:13" x14ac:dyDescent="0.25">
      <c r="A470">
        <v>17</v>
      </c>
      <c r="B470" t="s">
        <v>37</v>
      </c>
      <c r="C470">
        <v>5.5</v>
      </c>
      <c r="D470" t="s">
        <v>35</v>
      </c>
      <c r="E470">
        <v>4.9000000000000004</v>
      </c>
      <c r="F470">
        <v>2.6</v>
      </c>
      <c r="G470">
        <v>3.64</v>
      </c>
      <c r="H470">
        <v>0.8</v>
      </c>
      <c r="I470" t="s">
        <v>40</v>
      </c>
      <c r="J470">
        <v>6</v>
      </c>
      <c r="K470">
        <v>8</v>
      </c>
      <c r="L470">
        <v>3</v>
      </c>
      <c r="M470">
        <v>0</v>
      </c>
    </row>
    <row r="471" spans="1:13" x14ac:dyDescent="0.25">
      <c r="A471">
        <v>17</v>
      </c>
      <c r="B471" t="s">
        <v>37</v>
      </c>
      <c r="C471">
        <v>2.2000000000000002</v>
      </c>
      <c r="D471" t="s">
        <v>41</v>
      </c>
      <c r="E471">
        <v>7.5</v>
      </c>
      <c r="F471">
        <v>2.2000000000000002</v>
      </c>
      <c r="G471">
        <v>2.95</v>
      </c>
      <c r="H471">
        <v>1.6</v>
      </c>
      <c r="I471" t="s">
        <v>36</v>
      </c>
      <c r="J471">
        <v>9</v>
      </c>
      <c r="K471">
        <v>7</v>
      </c>
      <c r="L471">
        <v>4</v>
      </c>
      <c r="M471">
        <v>0</v>
      </c>
    </row>
    <row r="472" spans="1:13" x14ac:dyDescent="0.25">
      <c r="A472">
        <v>14</v>
      </c>
      <c r="B472" t="s">
        <v>34</v>
      </c>
      <c r="C472">
        <v>1.4</v>
      </c>
      <c r="D472" t="s">
        <v>41</v>
      </c>
      <c r="E472">
        <v>4.5</v>
      </c>
      <c r="F472">
        <v>1.4</v>
      </c>
      <c r="G472">
        <v>3.17</v>
      </c>
      <c r="H472">
        <v>1.7</v>
      </c>
      <c r="I472" t="s">
        <v>39</v>
      </c>
      <c r="J472">
        <v>9</v>
      </c>
      <c r="K472">
        <v>10</v>
      </c>
      <c r="L472">
        <v>9</v>
      </c>
      <c r="M472">
        <v>0</v>
      </c>
    </row>
    <row r="473" spans="1:13" x14ac:dyDescent="0.25">
      <c r="A473">
        <v>18</v>
      </c>
      <c r="B473" t="s">
        <v>34</v>
      </c>
      <c r="C473">
        <v>4.5</v>
      </c>
      <c r="D473" t="s">
        <v>35</v>
      </c>
      <c r="E473">
        <v>4.4000000000000004</v>
      </c>
      <c r="F473">
        <v>1.9</v>
      </c>
      <c r="G473">
        <v>2.2599999999999998</v>
      </c>
      <c r="H473">
        <v>0</v>
      </c>
      <c r="I473" t="s">
        <v>36</v>
      </c>
      <c r="J473">
        <v>7</v>
      </c>
      <c r="K473">
        <v>8</v>
      </c>
      <c r="L473">
        <v>10</v>
      </c>
      <c r="M473">
        <v>0</v>
      </c>
    </row>
    <row r="474" spans="1:13" x14ac:dyDescent="0.25">
      <c r="A474">
        <v>14</v>
      </c>
      <c r="B474" t="s">
        <v>37</v>
      </c>
      <c r="C474">
        <v>6.1</v>
      </c>
      <c r="D474" t="s">
        <v>35</v>
      </c>
      <c r="E474">
        <v>5.7</v>
      </c>
      <c r="F474">
        <v>2</v>
      </c>
      <c r="G474">
        <v>3.9</v>
      </c>
      <c r="H474">
        <v>1</v>
      </c>
      <c r="I474" t="s">
        <v>36</v>
      </c>
      <c r="J474">
        <v>8</v>
      </c>
      <c r="K474">
        <v>4</v>
      </c>
      <c r="L474">
        <v>6</v>
      </c>
      <c r="M474">
        <v>0</v>
      </c>
    </row>
    <row r="475" spans="1:13" x14ac:dyDescent="0.25">
      <c r="A475">
        <v>17</v>
      </c>
      <c r="B475" t="s">
        <v>34</v>
      </c>
      <c r="C475">
        <v>3.3</v>
      </c>
      <c r="D475" t="s">
        <v>38</v>
      </c>
      <c r="E475">
        <v>5.7</v>
      </c>
      <c r="F475">
        <v>2</v>
      </c>
      <c r="G475">
        <v>3.71</v>
      </c>
      <c r="H475">
        <v>0.1</v>
      </c>
      <c r="I475" t="s">
        <v>36</v>
      </c>
      <c r="J475">
        <v>6</v>
      </c>
      <c r="K475">
        <v>6</v>
      </c>
      <c r="L475">
        <v>8</v>
      </c>
      <c r="M475">
        <v>0</v>
      </c>
    </row>
    <row r="476" spans="1:13" x14ac:dyDescent="0.25">
      <c r="A476">
        <v>15</v>
      </c>
      <c r="B476" t="s">
        <v>34</v>
      </c>
      <c r="C476">
        <v>5.2</v>
      </c>
      <c r="D476" t="s">
        <v>41</v>
      </c>
      <c r="E476">
        <v>5.6</v>
      </c>
      <c r="F476">
        <v>1.1000000000000001</v>
      </c>
      <c r="G476">
        <v>2.88</v>
      </c>
      <c r="H476">
        <v>0.1</v>
      </c>
      <c r="I476" t="s">
        <v>40</v>
      </c>
      <c r="J476">
        <v>4</v>
      </c>
      <c r="K476">
        <v>8</v>
      </c>
      <c r="L476">
        <v>7</v>
      </c>
      <c r="M476">
        <v>0</v>
      </c>
    </row>
    <row r="477" spans="1:13" x14ac:dyDescent="0.25">
      <c r="A477">
        <v>18</v>
      </c>
      <c r="B477" t="s">
        <v>34</v>
      </c>
      <c r="C477">
        <v>5</v>
      </c>
      <c r="D477" t="s">
        <v>41</v>
      </c>
      <c r="E477">
        <v>5.8</v>
      </c>
      <c r="F477">
        <v>1.3</v>
      </c>
      <c r="G477">
        <v>2.12</v>
      </c>
      <c r="H477">
        <v>0.1</v>
      </c>
      <c r="I477" t="s">
        <v>36</v>
      </c>
      <c r="J477">
        <v>1</v>
      </c>
      <c r="K477">
        <v>9</v>
      </c>
      <c r="L477">
        <v>2</v>
      </c>
      <c r="M477">
        <v>0</v>
      </c>
    </row>
    <row r="478" spans="1:13" x14ac:dyDescent="0.25">
      <c r="A478">
        <v>17</v>
      </c>
      <c r="B478" t="s">
        <v>37</v>
      </c>
      <c r="C478">
        <v>1.8</v>
      </c>
      <c r="D478" t="s">
        <v>38</v>
      </c>
      <c r="E478">
        <v>5.9</v>
      </c>
      <c r="F478">
        <v>1.9</v>
      </c>
      <c r="G478">
        <v>2.89</v>
      </c>
      <c r="H478">
        <v>0.6</v>
      </c>
      <c r="I478" t="s">
        <v>36</v>
      </c>
      <c r="J478">
        <v>8</v>
      </c>
      <c r="K478">
        <v>8</v>
      </c>
      <c r="L478">
        <v>5</v>
      </c>
      <c r="M478">
        <v>0</v>
      </c>
    </row>
    <row r="479" spans="1:13" x14ac:dyDescent="0.25">
      <c r="A479">
        <v>13</v>
      </c>
      <c r="B479" t="s">
        <v>34</v>
      </c>
      <c r="C479">
        <v>2.2999999999999998</v>
      </c>
      <c r="D479" t="s">
        <v>38</v>
      </c>
      <c r="E479">
        <v>4.5</v>
      </c>
      <c r="F479">
        <v>0.7</v>
      </c>
      <c r="G479">
        <v>2.71</v>
      </c>
      <c r="H479">
        <v>0.2</v>
      </c>
      <c r="I479" t="s">
        <v>36</v>
      </c>
      <c r="J479">
        <v>6</v>
      </c>
      <c r="K479">
        <v>3</v>
      </c>
      <c r="L479">
        <v>7</v>
      </c>
      <c r="M479">
        <v>0</v>
      </c>
    </row>
    <row r="480" spans="1:13" x14ac:dyDescent="0.25">
      <c r="A480">
        <v>14</v>
      </c>
      <c r="B480" t="s">
        <v>34</v>
      </c>
      <c r="C480">
        <v>2.7</v>
      </c>
      <c r="D480" t="s">
        <v>41</v>
      </c>
      <c r="E480">
        <v>6.3</v>
      </c>
      <c r="F480">
        <v>0.6</v>
      </c>
      <c r="G480">
        <v>3.88</v>
      </c>
      <c r="H480">
        <v>0.3</v>
      </c>
      <c r="I480" t="s">
        <v>40</v>
      </c>
      <c r="J480">
        <v>6</v>
      </c>
      <c r="K480">
        <v>6</v>
      </c>
      <c r="L480">
        <v>6</v>
      </c>
      <c r="M480">
        <v>0</v>
      </c>
    </row>
    <row r="481" spans="1:13" x14ac:dyDescent="0.25">
      <c r="A481">
        <v>16</v>
      </c>
      <c r="B481" t="s">
        <v>34</v>
      </c>
      <c r="C481">
        <v>7.4</v>
      </c>
      <c r="D481" t="s">
        <v>38</v>
      </c>
      <c r="E481">
        <v>7.5</v>
      </c>
      <c r="F481">
        <v>1.7</v>
      </c>
      <c r="G481">
        <v>3.16</v>
      </c>
      <c r="H481">
        <v>1.8</v>
      </c>
      <c r="I481" t="s">
        <v>40</v>
      </c>
      <c r="J481">
        <v>2</v>
      </c>
      <c r="K481">
        <v>3</v>
      </c>
      <c r="L481">
        <v>2</v>
      </c>
      <c r="M481">
        <v>0</v>
      </c>
    </row>
    <row r="482" spans="1:13" x14ac:dyDescent="0.25">
      <c r="A482">
        <v>15</v>
      </c>
      <c r="B482" t="s">
        <v>34</v>
      </c>
      <c r="C482">
        <v>6.2</v>
      </c>
      <c r="D482" t="s">
        <v>38</v>
      </c>
      <c r="E482">
        <v>4.5999999999999996</v>
      </c>
      <c r="F482">
        <v>1.1000000000000001</v>
      </c>
      <c r="G482">
        <v>2.94</v>
      </c>
      <c r="H482">
        <v>1.8</v>
      </c>
      <c r="I482" t="s">
        <v>39</v>
      </c>
      <c r="J482">
        <v>4</v>
      </c>
      <c r="K482">
        <v>2</v>
      </c>
      <c r="L482">
        <v>3</v>
      </c>
      <c r="M482">
        <v>0</v>
      </c>
    </row>
    <row r="483" spans="1:13" x14ac:dyDescent="0.25">
      <c r="A483">
        <v>16</v>
      </c>
      <c r="B483" t="s">
        <v>34</v>
      </c>
      <c r="C483">
        <v>2.2999999999999998</v>
      </c>
      <c r="D483" t="s">
        <v>38</v>
      </c>
      <c r="E483">
        <v>8.8000000000000007</v>
      </c>
      <c r="F483">
        <v>1</v>
      </c>
      <c r="G483">
        <v>2.5099999999999998</v>
      </c>
      <c r="H483">
        <v>2</v>
      </c>
      <c r="I483" t="s">
        <v>40</v>
      </c>
      <c r="J483">
        <v>6</v>
      </c>
      <c r="K483">
        <v>10</v>
      </c>
      <c r="L483">
        <v>10</v>
      </c>
      <c r="M483">
        <v>0</v>
      </c>
    </row>
    <row r="484" spans="1:13" x14ac:dyDescent="0.25">
      <c r="A484">
        <v>18</v>
      </c>
      <c r="B484" t="s">
        <v>34</v>
      </c>
      <c r="C484">
        <v>1.8</v>
      </c>
      <c r="D484" t="s">
        <v>38</v>
      </c>
      <c r="E484">
        <v>5.2</v>
      </c>
      <c r="F484">
        <v>1.4</v>
      </c>
      <c r="G484">
        <v>2.68</v>
      </c>
      <c r="H484">
        <v>0.1</v>
      </c>
      <c r="I484" t="s">
        <v>39</v>
      </c>
      <c r="J484">
        <v>6</v>
      </c>
      <c r="K484">
        <v>2</v>
      </c>
      <c r="L484">
        <v>10</v>
      </c>
      <c r="M484">
        <v>0</v>
      </c>
    </row>
    <row r="485" spans="1:13" x14ac:dyDescent="0.25">
      <c r="A485">
        <v>16</v>
      </c>
      <c r="B485" t="s">
        <v>37</v>
      </c>
      <c r="C485">
        <v>1.3</v>
      </c>
      <c r="D485" t="s">
        <v>35</v>
      </c>
      <c r="E485">
        <v>4.9000000000000004</v>
      </c>
      <c r="F485">
        <v>2.6</v>
      </c>
      <c r="G485">
        <v>2.89</v>
      </c>
      <c r="H485">
        <v>0.2</v>
      </c>
      <c r="I485" t="s">
        <v>36</v>
      </c>
      <c r="J485">
        <v>2</v>
      </c>
      <c r="K485">
        <v>5</v>
      </c>
      <c r="L485">
        <v>2</v>
      </c>
      <c r="M485">
        <v>0</v>
      </c>
    </row>
    <row r="486" spans="1:13" x14ac:dyDescent="0.25">
      <c r="A486">
        <v>15</v>
      </c>
      <c r="B486" t="s">
        <v>34</v>
      </c>
      <c r="C486">
        <v>2.1</v>
      </c>
      <c r="D486" t="s">
        <v>35</v>
      </c>
      <c r="E486">
        <v>4.4000000000000004</v>
      </c>
      <c r="F486">
        <v>2.1</v>
      </c>
      <c r="G486">
        <v>3.43</v>
      </c>
      <c r="H486">
        <v>1.9</v>
      </c>
      <c r="I486" t="s">
        <v>36</v>
      </c>
      <c r="J486">
        <v>6</v>
      </c>
      <c r="K486">
        <v>6</v>
      </c>
      <c r="L486">
        <v>7</v>
      </c>
      <c r="M486">
        <v>0</v>
      </c>
    </row>
    <row r="487" spans="1:13" x14ac:dyDescent="0.25">
      <c r="A487">
        <v>14</v>
      </c>
      <c r="B487" t="s">
        <v>34</v>
      </c>
      <c r="C487">
        <v>3.9</v>
      </c>
      <c r="D487" t="s">
        <v>35</v>
      </c>
      <c r="E487">
        <v>7.7</v>
      </c>
      <c r="F487">
        <v>1.4</v>
      </c>
      <c r="G487">
        <v>2.86</v>
      </c>
      <c r="H487">
        <v>1.7</v>
      </c>
      <c r="I487" t="s">
        <v>39</v>
      </c>
      <c r="J487">
        <v>3</v>
      </c>
      <c r="K487">
        <v>5</v>
      </c>
      <c r="L487">
        <v>1</v>
      </c>
      <c r="M487">
        <v>0</v>
      </c>
    </row>
    <row r="488" spans="1:13" x14ac:dyDescent="0.25">
      <c r="A488">
        <v>18</v>
      </c>
      <c r="B488" t="s">
        <v>37</v>
      </c>
      <c r="C488">
        <v>3.8</v>
      </c>
      <c r="D488" t="s">
        <v>41</v>
      </c>
      <c r="E488">
        <v>4.5</v>
      </c>
      <c r="F488">
        <v>1.3</v>
      </c>
      <c r="G488">
        <v>3.06</v>
      </c>
      <c r="H488">
        <v>0.3</v>
      </c>
      <c r="I488" t="s">
        <v>40</v>
      </c>
      <c r="J488">
        <v>7</v>
      </c>
      <c r="K488">
        <v>8</v>
      </c>
      <c r="L488">
        <v>1</v>
      </c>
      <c r="M488">
        <v>0</v>
      </c>
    </row>
    <row r="489" spans="1:13" x14ac:dyDescent="0.25">
      <c r="A489">
        <v>15</v>
      </c>
      <c r="B489" t="s">
        <v>34</v>
      </c>
      <c r="C489">
        <v>6.4</v>
      </c>
      <c r="D489" t="s">
        <v>35</v>
      </c>
      <c r="E489">
        <v>7.8</v>
      </c>
      <c r="F489">
        <v>0.7</v>
      </c>
      <c r="G489">
        <v>2.6</v>
      </c>
      <c r="H489">
        <v>0.7</v>
      </c>
      <c r="I489" t="s">
        <v>39</v>
      </c>
      <c r="J489">
        <v>4</v>
      </c>
      <c r="K489">
        <v>4</v>
      </c>
      <c r="L489">
        <v>2</v>
      </c>
      <c r="M489">
        <v>0</v>
      </c>
    </row>
    <row r="490" spans="1:13" x14ac:dyDescent="0.25">
      <c r="A490">
        <v>19</v>
      </c>
      <c r="B490" t="s">
        <v>34</v>
      </c>
      <c r="C490">
        <v>3.2</v>
      </c>
      <c r="D490" t="s">
        <v>35</v>
      </c>
      <c r="E490">
        <v>6.2</v>
      </c>
      <c r="F490">
        <v>2.6</v>
      </c>
      <c r="G490">
        <v>3.72</v>
      </c>
      <c r="H490">
        <v>1.9</v>
      </c>
      <c r="I490" t="s">
        <v>39</v>
      </c>
      <c r="J490">
        <v>9</v>
      </c>
      <c r="K490">
        <v>5</v>
      </c>
      <c r="L490">
        <v>7</v>
      </c>
      <c r="M490">
        <v>0</v>
      </c>
    </row>
    <row r="491" spans="1:13" x14ac:dyDescent="0.25">
      <c r="A491">
        <v>13</v>
      </c>
      <c r="B491" t="s">
        <v>34</v>
      </c>
      <c r="C491">
        <v>4.4000000000000004</v>
      </c>
      <c r="D491" t="s">
        <v>41</v>
      </c>
      <c r="E491">
        <v>8.1999999999999993</v>
      </c>
      <c r="F491">
        <v>1.5</v>
      </c>
      <c r="G491">
        <v>3.98</v>
      </c>
      <c r="H491">
        <v>1.4</v>
      </c>
      <c r="I491" t="s">
        <v>39</v>
      </c>
      <c r="J491">
        <v>9</v>
      </c>
      <c r="K491">
        <v>6</v>
      </c>
      <c r="L491">
        <v>6</v>
      </c>
      <c r="M491">
        <v>0</v>
      </c>
    </row>
    <row r="492" spans="1:13" x14ac:dyDescent="0.25">
      <c r="A492">
        <v>15</v>
      </c>
      <c r="B492" t="s">
        <v>34</v>
      </c>
      <c r="C492">
        <v>1.3</v>
      </c>
      <c r="D492" t="s">
        <v>38</v>
      </c>
      <c r="E492">
        <v>7.5</v>
      </c>
      <c r="F492">
        <v>1.3</v>
      </c>
      <c r="G492">
        <v>2.99</v>
      </c>
      <c r="H492">
        <v>1.4</v>
      </c>
      <c r="I492" t="s">
        <v>36</v>
      </c>
      <c r="J492">
        <v>1</v>
      </c>
      <c r="K492">
        <v>5</v>
      </c>
      <c r="L492">
        <v>2</v>
      </c>
      <c r="M492">
        <v>0</v>
      </c>
    </row>
    <row r="493" spans="1:13" x14ac:dyDescent="0.25">
      <c r="A493">
        <v>18</v>
      </c>
      <c r="B493" t="s">
        <v>37</v>
      </c>
      <c r="C493">
        <v>5.7</v>
      </c>
      <c r="D493" t="s">
        <v>38</v>
      </c>
      <c r="E493">
        <v>6.2</v>
      </c>
      <c r="F493">
        <v>0.5</v>
      </c>
      <c r="G493">
        <v>3.98</v>
      </c>
      <c r="H493">
        <v>1.7</v>
      </c>
      <c r="I493" t="s">
        <v>40</v>
      </c>
      <c r="J493">
        <v>7</v>
      </c>
      <c r="K493">
        <v>6</v>
      </c>
      <c r="L493">
        <v>3</v>
      </c>
      <c r="M493">
        <v>0</v>
      </c>
    </row>
    <row r="494" spans="1:13" x14ac:dyDescent="0.25">
      <c r="A494">
        <v>13</v>
      </c>
      <c r="B494" t="s">
        <v>34</v>
      </c>
      <c r="C494">
        <v>4</v>
      </c>
      <c r="D494" t="s">
        <v>38</v>
      </c>
      <c r="E494">
        <v>5</v>
      </c>
      <c r="F494">
        <v>2.9</v>
      </c>
      <c r="G494">
        <v>3.84</v>
      </c>
      <c r="H494">
        <v>0.1</v>
      </c>
      <c r="I494" t="s">
        <v>36</v>
      </c>
      <c r="J494">
        <v>7</v>
      </c>
      <c r="K494">
        <v>8</v>
      </c>
      <c r="L494">
        <v>10</v>
      </c>
      <c r="M494">
        <v>0</v>
      </c>
    </row>
    <row r="495" spans="1:13" x14ac:dyDescent="0.25">
      <c r="A495">
        <v>16</v>
      </c>
      <c r="B495" t="s">
        <v>37</v>
      </c>
      <c r="C495">
        <v>4.8</v>
      </c>
      <c r="D495" t="s">
        <v>35</v>
      </c>
      <c r="E495">
        <v>6.7</v>
      </c>
      <c r="F495">
        <v>1.4</v>
      </c>
      <c r="G495">
        <v>2.44</v>
      </c>
      <c r="H495">
        <v>0.3</v>
      </c>
      <c r="I495" t="s">
        <v>36</v>
      </c>
      <c r="J495">
        <v>1</v>
      </c>
      <c r="K495">
        <v>3</v>
      </c>
      <c r="L495">
        <v>1</v>
      </c>
      <c r="M495">
        <v>0</v>
      </c>
    </row>
    <row r="496" spans="1:13" x14ac:dyDescent="0.25">
      <c r="A496">
        <v>19</v>
      </c>
      <c r="B496" t="s">
        <v>34</v>
      </c>
      <c r="C496">
        <v>5.8</v>
      </c>
      <c r="D496" t="s">
        <v>41</v>
      </c>
      <c r="E496">
        <v>7.5</v>
      </c>
      <c r="F496">
        <v>1.9</v>
      </c>
      <c r="G496">
        <v>2.08</v>
      </c>
      <c r="H496">
        <v>0.1</v>
      </c>
      <c r="I496" t="s">
        <v>39</v>
      </c>
      <c r="J496">
        <v>2</v>
      </c>
      <c r="K496">
        <v>1</v>
      </c>
      <c r="L496">
        <v>3</v>
      </c>
      <c r="M496">
        <v>0</v>
      </c>
    </row>
    <row r="497" spans="1:13" x14ac:dyDescent="0.25">
      <c r="A497">
        <v>16</v>
      </c>
      <c r="B497" t="s">
        <v>34</v>
      </c>
      <c r="C497">
        <v>5.8</v>
      </c>
      <c r="D497" t="s">
        <v>41</v>
      </c>
      <c r="E497">
        <v>8.9</v>
      </c>
      <c r="F497">
        <v>1.1000000000000001</v>
      </c>
      <c r="G497">
        <v>2.08</v>
      </c>
      <c r="H497">
        <v>1.9</v>
      </c>
      <c r="I497" t="s">
        <v>40</v>
      </c>
      <c r="J497">
        <v>8</v>
      </c>
      <c r="K497">
        <v>5</v>
      </c>
      <c r="L497">
        <v>9</v>
      </c>
      <c r="M497">
        <v>0</v>
      </c>
    </row>
    <row r="498" spans="1:13" x14ac:dyDescent="0.25">
      <c r="A498">
        <v>13</v>
      </c>
      <c r="B498" t="s">
        <v>34</v>
      </c>
      <c r="C498">
        <v>3.2</v>
      </c>
      <c r="D498" t="s">
        <v>38</v>
      </c>
      <c r="E498">
        <v>5.0999999999999996</v>
      </c>
      <c r="F498">
        <v>1.6</v>
      </c>
      <c r="G498">
        <v>2.87</v>
      </c>
      <c r="H498">
        <v>1.8</v>
      </c>
      <c r="I498" t="s">
        <v>40</v>
      </c>
      <c r="J498">
        <v>4</v>
      </c>
      <c r="K498">
        <v>9</v>
      </c>
      <c r="L498">
        <v>8</v>
      </c>
      <c r="M498">
        <v>0</v>
      </c>
    </row>
    <row r="499" spans="1:13" x14ac:dyDescent="0.25">
      <c r="A499">
        <v>16</v>
      </c>
      <c r="B499" t="s">
        <v>37</v>
      </c>
      <c r="C499">
        <v>5.2</v>
      </c>
      <c r="D499" t="s">
        <v>41</v>
      </c>
      <c r="E499">
        <v>4</v>
      </c>
      <c r="F499">
        <v>2.4</v>
      </c>
      <c r="G499">
        <v>2.35</v>
      </c>
      <c r="H499">
        <v>1.6</v>
      </c>
      <c r="I499" t="s">
        <v>36</v>
      </c>
      <c r="J499">
        <v>10</v>
      </c>
      <c r="K499">
        <v>5</v>
      </c>
      <c r="L499">
        <v>2</v>
      </c>
      <c r="M499">
        <v>0</v>
      </c>
    </row>
    <row r="500" spans="1:13" x14ac:dyDescent="0.25">
      <c r="A500">
        <v>17</v>
      </c>
      <c r="B500" t="s">
        <v>34</v>
      </c>
      <c r="C500">
        <v>2.4</v>
      </c>
      <c r="D500" t="s">
        <v>38</v>
      </c>
      <c r="E500">
        <v>6</v>
      </c>
      <c r="F500">
        <v>0.7</v>
      </c>
      <c r="G500">
        <v>3.67</v>
      </c>
      <c r="H500">
        <v>1.5</v>
      </c>
      <c r="I500" t="s">
        <v>36</v>
      </c>
      <c r="J500">
        <v>7</v>
      </c>
      <c r="K500">
        <v>9</v>
      </c>
      <c r="L500">
        <v>2</v>
      </c>
      <c r="M500">
        <v>0</v>
      </c>
    </row>
    <row r="501" spans="1:13" x14ac:dyDescent="0.25">
      <c r="A501">
        <v>15</v>
      </c>
      <c r="B501" t="s">
        <v>34</v>
      </c>
      <c r="C501">
        <v>7.4</v>
      </c>
      <c r="D501" t="s">
        <v>41</v>
      </c>
      <c r="E501">
        <v>5.9</v>
      </c>
      <c r="F501">
        <v>2.6</v>
      </c>
      <c r="G501">
        <v>2.89</v>
      </c>
      <c r="H501">
        <v>1.9</v>
      </c>
      <c r="I501" t="s">
        <v>40</v>
      </c>
      <c r="J501">
        <v>7</v>
      </c>
      <c r="K501">
        <v>3</v>
      </c>
      <c r="L501">
        <v>8</v>
      </c>
      <c r="M501">
        <v>0</v>
      </c>
    </row>
    <row r="502" spans="1:13" x14ac:dyDescent="0.25">
      <c r="A502">
        <v>18</v>
      </c>
      <c r="B502" t="s">
        <v>37</v>
      </c>
      <c r="C502">
        <v>7.1</v>
      </c>
      <c r="D502" t="s">
        <v>35</v>
      </c>
      <c r="E502">
        <v>4.8</v>
      </c>
      <c r="F502">
        <v>2.1</v>
      </c>
      <c r="G502">
        <v>2.5099999999999998</v>
      </c>
      <c r="H502">
        <v>0.9</v>
      </c>
      <c r="I502" t="s">
        <v>39</v>
      </c>
      <c r="J502">
        <v>1</v>
      </c>
      <c r="K502">
        <v>1</v>
      </c>
      <c r="L502">
        <v>10</v>
      </c>
      <c r="M502">
        <v>0</v>
      </c>
    </row>
    <row r="503" spans="1:13" x14ac:dyDescent="0.25">
      <c r="A503">
        <v>16</v>
      </c>
      <c r="B503" t="s">
        <v>34</v>
      </c>
      <c r="C503">
        <v>6.5</v>
      </c>
      <c r="D503" t="s">
        <v>38</v>
      </c>
      <c r="E503">
        <v>7.4</v>
      </c>
      <c r="F503">
        <v>1.9</v>
      </c>
      <c r="G503">
        <v>2.2200000000000002</v>
      </c>
      <c r="H503">
        <v>1.1000000000000001</v>
      </c>
      <c r="I503" t="s">
        <v>40</v>
      </c>
      <c r="J503">
        <v>10</v>
      </c>
      <c r="K503">
        <v>10</v>
      </c>
      <c r="L503">
        <v>2</v>
      </c>
      <c r="M503">
        <v>0</v>
      </c>
    </row>
    <row r="504" spans="1:13" x14ac:dyDescent="0.25">
      <c r="A504">
        <v>13</v>
      </c>
      <c r="B504" t="s">
        <v>34</v>
      </c>
      <c r="C504">
        <v>7.4</v>
      </c>
      <c r="D504" t="s">
        <v>41</v>
      </c>
      <c r="E504">
        <v>7</v>
      </c>
      <c r="F504">
        <v>1.8</v>
      </c>
      <c r="G504">
        <v>2.17</v>
      </c>
      <c r="H504">
        <v>1.4</v>
      </c>
      <c r="I504" t="s">
        <v>40</v>
      </c>
      <c r="J504">
        <v>9</v>
      </c>
      <c r="K504">
        <v>10</v>
      </c>
      <c r="L504">
        <v>5</v>
      </c>
      <c r="M504">
        <v>0</v>
      </c>
    </row>
    <row r="505" spans="1:13" x14ac:dyDescent="0.25">
      <c r="A505">
        <v>15</v>
      </c>
      <c r="B505" t="s">
        <v>37</v>
      </c>
      <c r="C505">
        <v>3.9</v>
      </c>
      <c r="D505" t="s">
        <v>35</v>
      </c>
      <c r="E505">
        <v>6.4</v>
      </c>
      <c r="F505">
        <v>1.7</v>
      </c>
      <c r="G505">
        <v>2.87</v>
      </c>
      <c r="H505">
        <v>1.8</v>
      </c>
      <c r="I505" t="s">
        <v>39</v>
      </c>
      <c r="J505">
        <v>6</v>
      </c>
      <c r="K505">
        <v>6</v>
      </c>
      <c r="L505">
        <v>6</v>
      </c>
      <c r="M505">
        <v>0</v>
      </c>
    </row>
    <row r="506" spans="1:13" x14ac:dyDescent="0.25">
      <c r="A506">
        <v>15</v>
      </c>
      <c r="B506" t="s">
        <v>37</v>
      </c>
      <c r="C506">
        <v>4.5999999999999996</v>
      </c>
      <c r="D506" t="s">
        <v>41</v>
      </c>
      <c r="E506">
        <v>8.6</v>
      </c>
      <c r="F506">
        <v>2</v>
      </c>
      <c r="G506">
        <v>3.01</v>
      </c>
      <c r="H506">
        <v>0</v>
      </c>
      <c r="I506" t="s">
        <v>36</v>
      </c>
      <c r="J506">
        <v>1</v>
      </c>
      <c r="K506">
        <v>8</v>
      </c>
      <c r="L506">
        <v>3</v>
      </c>
      <c r="M506">
        <v>0</v>
      </c>
    </row>
    <row r="507" spans="1:13" x14ac:dyDescent="0.25">
      <c r="A507">
        <v>19</v>
      </c>
      <c r="B507" t="s">
        <v>34</v>
      </c>
      <c r="C507">
        <v>1.5</v>
      </c>
      <c r="D507" t="s">
        <v>38</v>
      </c>
      <c r="E507">
        <v>6.7</v>
      </c>
      <c r="F507">
        <v>1</v>
      </c>
      <c r="G507">
        <v>3.9</v>
      </c>
      <c r="H507">
        <v>0.4</v>
      </c>
      <c r="I507" t="s">
        <v>36</v>
      </c>
      <c r="J507">
        <v>4</v>
      </c>
      <c r="K507">
        <v>3</v>
      </c>
      <c r="L507">
        <v>3</v>
      </c>
      <c r="M507">
        <v>0</v>
      </c>
    </row>
    <row r="508" spans="1:13" x14ac:dyDescent="0.25">
      <c r="A508">
        <v>15</v>
      </c>
      <c r="B508" t="s">
        <v>37</v>
      </c>
      <c r="C508">
        <v>5.8</v>
      </c>
      <c r="D508" t="s">
        <v>35</v>
      </c>
      <c r="E508">
        <v>7.1</v>
      </c>
      <c r="F508">
        <v>1.1000000000000001</v>
      </c>
      <c r="G508">
        <v>3.72</v>
      </c>
      <c r="H508">
        <v>1.5</v>
      </c>
      <c r="I508" t="s">
        <v>36</v>
      </c>
      <c r="J508">
        <v>9</v>
      </c>
      <c r="K508">
        <v>6</v>
      </c>
      <c r="L508">
        <v>6</v>
      </c>
      <c r="M508">
        <v>0</v>
      </c>
    </row>
    <row r="509" spans="1:13" x14ac:dyDescent="0.25">
      <c r="A509">
        <v>17</v>
      </c>
      <c r="B509" t="s">
        <v>37</v>
      </c>
      <c r="C509">
        <v>6.4</v>
      </c>
      <c r="D509" t="s">
        <v>38</v>
      </c>
      <c r="E509">
        <v>4.9000000000000004</v>
      </c>
      <c r="F509">
        <v>2.1</v>
      </c>
      <c r="G509">
        <v>2.78</v>
      </c>
      <c r="H509">
        <v>1</v>
      </c>
      <c r="I509" t="s">
        <v>39</v>
      </c>
      <c r="J509">
        <v>2</v>
      </c>
      <c r="K509">
        <v>2</v>
      </c>
      <c r="L509">
        <v>6</v>
      </c>
      <c r="M509">
        <v>0</v>
      </c>
    </row>
    <row r="510" spans="1:13" x14ac:dyDescent="0.25">
      <c r="A510">
        <v>16</v>
      </c>
      <c r="B510" t="s">
        <v>37</v>
      </c>
      <c r="C510">
        <v>2.1</v>
      </c>
      <c r="D510" t="s">
        <v>38</v>
      </c>
      <c r="E510">
        <v>8.1999999999999993</v>
      </c>
      <c r="F510">
        <v>2.4</v>
      </c>
      <c r="G510">
        <v>3.25</v>
      </c>
      <c r="H510">
        <v>0.1</v>
      </c>
      <c r="I510" t="s">
        <v>39</v>
      </c>
      <c r="J510">
        <v>1</v>
      </c>
      <c r="K510">
        <v>1</v>
      </c>
      <c r="L510">
        <v>8</v>
      </c>
      <c r="M510">
        <v>0</v>
      </c>
    </row>
    <row r="511" spans="1:13" x14ac:dyDescent="0.25">
      <c r="A511">
        <v>17</v>
      </c>
      <c r="B511" t="s">
        <v>37</v>
      </c>
      <c r="C511">
        <v>2.2000000000000002</v>
      </c>
      <c r="D511" t="s">
        <v>38</v>
      </c>
      <c r="E511">
        <v>6.5</v>
      </c>
      <c r="F511">
        <v>3</v>
      </c>
      <c r="G511">
        <v>2.4900000000000002</v>
      </c>
      <c r="H511">
        <v>0.2</v>
      </c>
      <c r="I511" t="s">
        <v>40</v>
      </c>
      <c r="J511">
        <v>5</v>
      </c>
      <c r="K511">
        <v>8</v>
      </c>
      <c r="L511">
        <v>4</v>
      </c>
      <c r="M511">
        <v>0</v>
      </c>
    </row>
    <row r="512" spans="1:13" x14ac:dyDescent="0.25">
      <c r="A512">
        <v>14</v>
      </c>
      <c r="B512" t="s">
        <v>34</v>
      </c>
      <c r="C512">
        <v>5.5</v>
      </c>
      <c r="D512" t="s">
        <v>38</v>
      </c>
      <c r="E512">
        <v>7.4</v>
      </c>
      <c r="F512">
        <v>2.9</v>
      </c>
      <c r="G512">
        <v>3.54</v>
      </c>
      <c r="H512">
        <v>1.1000000000000001</v>
      </c>
      <c r="I512" t="s">
        <v>39</v>
      </c>
      <c r="J512">
        <v>8</v>
      </c>
      <c r="K512">
        <v>4</v>
      </c>
      <c r="L512">
        <v>10</v>
      </c>
      <c r="M512">
        <v>0</v>
      </c>
    </row>
    <row r="513" spans="1:13" x14ac:dyDescent="0.25">
      <c r="A513">
        <v>17</v>
      </c>
      <c r="B513" t="s">
        <v>37</v>
      </c>
      <c r="C513">
        <v>6.6</v>
      </c>
      <c r="D513" t="s">
        <v>41</v>
      </c>
      <c r="E513">
        <v>7.4</v>
      </c>
      <c r="F513">
        <v>2.2000000000000002</v>
      </c>
      <c r="G513">
        <v>2.63</v>
      </c>
      <c r="H513">
        <v>0.6</v>
      </c>
      <c r="I513" t="s">
        <v>39</v>
      </c>
      <c r="J513">
        <v>7</v>
      </c>
      <c r="K513">
        <v>4</v>
      </c>
      <c r="L513">
        <v>9</v>
      </c>
      <c r="M513">
        <v>0</v>
      </c>
    </row>
    <row r="514" spans="1:13" x14ac:dyDescent="0.25">
      <c r="A514">
        <v>19</v>
      </c>
      <c r="B514" t="s">
        <v>37</v>
      </c>
      <c r="C514">
        <v>5.2</v>
      </c>
      <c r="D514" t="s">
        <v>35</v>
      </c>
      <c r="E514">
        <v>6.6</v>
      </c>
      <c r="F514">
        <v>1.6</v>
      </c>
      <c r="G514">
        <v>2.36</v>
      </c>
      <c r="H514">
        <v>1.4</v>
      </c>
      <c r="I514" t="s">
        <v>36</v>
      </c>
      <c r="J514">
        <v>2</v>
      </c>
      <c r="K514">
        <v>6</v>
      </c>
      <c r="L514">
        <v>10</v>
      </c>
      <c r="M514">
        <v>0</v>
      </c>
    </row>
    <row r="515" spans="1:13" x14ac:dyDescent="0.25">
      <c r="A515">
        <v>17</v>
      </c>
      <c r="B515" t="s">
        <v>34</v>
      </c>
      <c r="C515">
        <v>4.7</v>
      </c>
      <c r="D515" t="s">
        <v>38</v>
      </c>
      <c r="E515">
        <v>5.0999999999999996</v>
      </c>
      <c r="F515">
        <v>2</v>
      </c>
      <c r="G515">
        <v>2.35</v>
      </c>
      <c r="H515">
        <v>1.8</v>
      </c>
      <c r="I515" t="s">
        <v>36</v>
      </c>
      <c r="J515">
        <v>8</v>
      </c>
      <c r="K515">
        <v>9</v>
      </c>
      <c r="L515">
        <v>1</v>
      </c>
      <c r="M515">
        <v>0</v>
      </c>
    </row>
    <row r="516" spans="1:13" x14ac:dyDescent="0.25">
      <c r="A516">
        <v>19</v>
      </c>
      <c r="B516" t="s">
        <v>37</v>
      </c>
      <c r="C516">
        <v>7.1</v>
      </c>
      <c r="D516" t="s">
        <v>41</v>
      </c>
      <c r="E516">
        <v>6.3</v>
      </c>
      <c r="F516">
        <v>2.2000000000000002</v>
      </c>
      <c r="G516">
        <v>3.88</v>
      </c>
      <c r="H516">
        <v>0.8</v>
      </c>
      <c r="I516" t="s">
        <v>39</v>
      </c>
      <c r="J516">
        <v>10</v>
      </c>
      <c r="K516">
        <v>4</v>
      </c>
      <c r="L516">
        <v>9</v>
      </c>
      <c r="M516">
        <v>0</v>
      </c>
    </row>
    <row r="517" spans="1:13" x14ac:dyDescent="0.25">
      <c r="A517">
        <v>19</v>
      </c>
      <c r="B517" t="s">
        <v>37</v>
      </c>
      <c r="C517">
        <v>4.2</v>
      </c>
      <c r="D517" t="s">
        <v>41</v>
      </c>
      <c r="E517">
        <v>8.1</v>
      </c>
      <c r="F517">
        <v>1.4</v>
      </c>
      <c r="G517">
        <v>2.66</v>
      </c>
      <c r="H517">
        <v>1.9</v>
      </c>
      <c r="I517" t="s">
        <v>36</v>
      </c>
      <c r="J517">
        <v>9</v>
      </c>
      <c r="K517">
        <v>4</v>
      </c>
      <c r="L517">
        <v>2</v>
      </c>
      <c r="M517">
        <v>0</v>
      </c>
    </row>
    <row r="518" spans="1:13" x14ac:dyDescent="0.25">
      <c r="A518">
        <v>17</v>
      </c>
      <c r="B518" t="s">
        <v>37</v>
      </c>
      <c r="C518">
        <v>1.3</v>
      </c>
      <c r="D518" t="s">
        <v>35</v>
      </c>
      <c r="E518">
        <v>5.0999999999999996</v>
      </c>
      <c r="F518">
        <v>2.2000000000000002</v>
      </c>
      <c r="G518">
        <v>3.44</v>
      </c>
      <c r="H518">
        <v>0.6</v>
      </c>
      <c r="I518" t="s">
        <v>39</v>
      </c>
      <c r="J518">
        <v>7</v>
      </c>
      <c r="K518">
        <v>8</v>
      </c>
      <c r="L518">
        <v>6</v>
      </c>
      <c r="M518">
        <v>0</v>
      </c>
    </row>
    <row r="519" spans="1:13" x14ac:dyDescent="0.25">
      <c r="A519">
        <v>18</v>
      </c>
      <c r="B519" t="s">
        <v>34</v>
      </c>
      <c r="C519">
        <v>2.6</v>
      </c>
      <c r="D519" t="s">
        <v>41</v>
      </c>
      <c r="E519">
        <v>7.8</v>
      </c>
      <c r="F519">
        <v>1.9</v>
      </c>
      <c r="G519">
        <v>3.15</v>
      </c>
      <c r="H519">
        <v>0.4</v>
      </c>
      <c r="I519" t="s">
        <v>40</v>
      </c>
      <c r="J519">
        <v>8</v>
      </c>
      <c r="K519">
        <v>3</v>
      </c>
      <c r="L519">
        <v>2</v>
      </c>
      <c r="M519">
        <v>0</v>
      </c>
    </row>
    <row r="520" spans="1:13" x14ac:dyDescent="0.25">
      <c r="A520">
        <v>15</v>
      </c>
      <c r="B520" t="s">
        <v>34</v>
      </c>
      <c r="C520">
        <v>6.2</v>
      </c>
      <c r="D520" t="s">
        <v>35</v>
      </c>
      <c r="E520">
        <v>8.1</v>
      </c>
      <c r="F520">
        <v>2.2999999999999998</v>
      </c>
      <c r="G520">
        <v>3.46</v>
      </c>
      <c r="H520">
        <v>1.3</v>
      </c>
      <c r="I520" t="s">
        <v>36</v>
      </c>
      <c r="J520">
        <v>5</v>
      </c>
      <c r="K520">
        <v>4</v>
      </c>
      <c r="L520">
        <v>9</v>
      </c>
      <c r="M520">
        <v>0</v>
      </c>
    </row>
    <row r="521" spans="1:13" x14ac:dyDescent="0.25">
      <c r="A521">
        <v>14</v>
      </c>
      <c r="B521" t="s">
        <v>37</v>
      </c>
      <c r="C521">
        <v>6.2</v>
      </c>
      <c r="D521" t="s">
        <v>38</v>
      </c>
      <c r="E521">
        <v>5.0999999999999996</v>
      </c>
      <c r="F521">
        <v>1.5</v>
      </c>
      <c r="G521">
        <v>3.85</v>
      </c>
      <c r="H521">
        <v>0.2</v>
      </c>
      <c r="I521" t="s">
        <v>39</v>
      </c>
      <c r="J521">
        <v>3</v>
      </c>
      <c r="K521">
        <v>4</v>
      </c>
      <c r="L521">
        <v>10</v>
      </c>
      <c r="M521">
        <v>0</v>
      </c>
    </row>
    <row r="522" spans="1:13" x14ac:dyDescent="0.25">
      <c r="A522">
        <v>18</v>
      </c>
      <c r="B522" t="s">
        <v>34</v>
      </c>
      <c r="C522">
        <v>4.8</v>
      </c>
      <c r="D522" t="s">
        <v>38</v>
      </c>
      <c r="E522">
        <v>8.5</v>
      </c>
      <c r="F522">
        <v>2.8</v>
      </c>
      <c r="G522">
        <v>3.77</v>
      </c>
      <c r="H522">
        <v>1.3</v>
      </c>
      <c r="I522" t="s">
        <v>36</v>
      </c>
      <c r="J522">
        <v>5</v>
      </c>
      <c r="K522">
        <v>4</v>
      </c>
      <c r="L522">
        <v>3</v>
      </c>
      <c r="M522">
        <v>0</v>
      </c>
    </row>
    <row r="523" spans="1:13" x14ac:dyDescent="0.25">
      <c r="A523">
        <v>18</v>
      </c>
      <c r="B523" t="s">
        <v>37</v>
      </c>
      <c r="C523">
        <v>3</v>
      </c>
      <c r="D523" t="s">
        <v>41</v>
      </c>
      <c r="E523">
        <v>4.5999999999999996</v>
      </c>
      <c r="F523">
        <v>2</v>
      </c>
      <c r="G523">
        <v>2.2400000000000002</v>
      </c>
      <c r="H523">
        <v>1.5</v>
      </c>
      <c r="I523" t="s">
        <v>40</v>
      </c>
      <c r="J523">
        <v>10</v>
      </c>
      <c r="K523">
        <v>2</v>
      </c>
      <c r="L523">
        <v>5</v>
      </c>
      <c r="M523">
        <v>0</v>
      </c>
    </row>
    <row r="524" spans="1:13" x14ac:dyDescent="0.25">
      <c r="A524">
        <v>16</v>
      </c>
      <c r="B524" t="s">
        <v>34</v>
      </c>
      <c r="C524">
        <v>4.7</v>
      </c>
      <c r="D524" t="s">
        <v>35</v>
      </c>
      <c r="E524">
        <v>8.1999999999999993</v>
      </c>
      <c r="F524">
        <v>2.7</v>
      </c>
      <c r="G524">
        <v>3.04</v>
      </c>
      <c r="H524">
        <v>0.3</v>
      </c>
      <c r="I524" t="s">
        <v>39</v>
      </c>
      <c r="J524">
        <v>1</v>
      </c>
      <c r="K524">
        <v>3</v>
      </c>
      <c r="L524">
        <v>4</v>
      </c>
      <c r="M524">
        <v>0</v>
      </c>
    </row>
    <row r="525" spans="1:13" x14ac:dyDescent="0.25">
      <c r="A525">
        <v>18</v>
      </c>
      <c r="B525" t="s">
        <v>37</v>
      </c>
      <c r="C525">
        <v>4.4000000000000004</v>
      </c>
      <c r="D525" t="s">
        <v>41</v>
      </c>
      <c r="E525">
        <v>5.0999999999999996</v>
      </c>
      <c r="F525">
        <v>1.4</v>
      </c>
      <c r="G525">
        <v>2.33</v>
      </c>
      <c r="H525">
        <v>0.6</v>
      </c>
      <c r="I525" t="s">
        <v>36</v>
      </c>
      <c r="J525">
        <v>2</v>
      </c>
      <c r="K525">
        <v>7</v>
      </c>
      <c r="L525">
        <v>4</v>
      </c>
      <c r="M525">
        <v>0</v>
      </c>
    </row>
    <row r="526" spans="1:13" x14ac:dyDescent="0.25">
      <c r="A526">
        <v>14</v>
      </c>
      <c r="B526" t="s">
        <v>37</v>
      </c>
      <c r="C526">
        <v>2.2999999999999998</v>
      </c>
      <c r="D526" t="s">
        <v>38</v>
      </c>
      <c r="E526">
        <v>7.3</v>
      </c>
      <c r="F526">
        <v>2.2999999999999998</v>
      </c>
      <c r="G526">
        <v>2.8</v>
      </c>
      <c r="H526">
        <v>1.5</v>
      </c>
      <c r="I526" t="s">
        <v>40</v>
      </c>
      <c r="J526">
        <v>4</v>
      </c>
      <c r="K526">
        <v>6</v>
      </c>
      <c r="L526">
        <v>5</v>
      </c>
      <c r="M526">
        <v>0</v>
      </c>
    </row>
    <row r="527" spans="1:13" x14ac:dyDescent="0.25">
      <c r="A527">
        <v>14</v>
      </c>
      <c r="B527" t="s">
        <v>37</v>
      </c>
      <c r="C527">
        <v>3.1</v>
      </c>
      <c r="D527" t="s">
        <v>35</v>
      </c>
      <c r="E527">
        <v>6.9</v>
      </c>
      <c r="F527">
        <v>1.9</v>
      </c>
      <c r="G527">
        <v>2.2000000000000002</v>
      </c>
      <c r="H527">
        <v>1.2</v>
      </c>
      <c r="I527" t="s">
        <v>40</v>
      </c>
      <c r="J527">
        <v>3</v>
      </c>
      <c r="K527">
        <v>4</v>
      </c>
      <c r="L527">
        <v>2</v>
      </c>
      <c r="M527">
        <v>0</v>
      </c>
    </row>
    <row r="528" spans="1:13" x14ac:dyDescent="0.25">
      <c r="A528">
        <v>18</v>
      </c>
      <c r="B528" t="s">
        <v>34</v>
      </c>
      <c r="C528">
        <v>2.9</v>
      </c>
      <c r="D528" t="s">
        <v>38</v>
      </c>
      <c r="E528">
        <v>7.5</v>
      </c>
      <c r="F528">
        <v>0.6</v>
      </c>
      <c r="G528">
        <v>2.25</v>
      </c>
      <c r="H528">
        <v>1</v>
      </c>
      <c r="I528" t="s">
        <v>39</v>
      </c>
      <c r="J528">
        <v>4</v>
      </c>
      <c r="K528">
        <v>7</v>
      </c>
      <c r="L528">
        <v>4</v>
      </c>
      <c r="M528">
        <v>0</v>
      </c>
    </row>
    <row r="529" spans="1:13" x14ac:dyDescent="0.25">
      <c r="A529">
        <v>13</v>
      </c>
      <c r="B529" t="s">
        <v>34</v>
      </c>
      <c r="C529">
        <v>1.8</v>
      </c>
      <c r="D529" t="s">
        <v>35</v>
      </c>
      <c r="E529">
        <v>4.4000000000000004</v>
      </c>
      <c r="F529">
        <v>0.6</v>
      </c>
      <c r="G529">
        <v>3.48</v>
      </c>
      <c r="H529">
        <v>1.7</v>
      </c>
      <c r="I529" t="s">
        <v>40</v>
      </c>
      <c r="J529">
        <v>3</v>
      </c>
      <c r="K529">
        <v>1</v>
      </c>
      <c r="L529">
        <v>10</v>
      </c>
      <c r="M529">
        <v>0</v>
      </c>
    </row>
    <row r="530" spans="1:13" x14ac:dyDescent="0.25">
      <c r="A530">
        <v>15</v>
      </c>
      <c r="B530" t="s">
        <v>37</v>
      </c>
      <c r="C530">
        <v>2</v>
      </c>
      <c r="D530" t="s">
        <v>35</v>
      </c>
      <c r="E530">
        <v>4.7</v>
      </c>
      <c r="F530">
        <v>1.3</v>
      </c>
      <c r="G530">
        <v>3.55</v>
      </c>
      <c r="H530">
        <v>1.3</v>
      </c>
      <c r="I530" t="s">
        <v>36</v>
      </c>
      <c r="J530">
        <v>2</v>
      </c>
      <c r="K530">
        <v>6</v>
      </c>
      <c r="L530">
        <v>5</v>
      </c>
      <c r="M530">
        <v>0</v>
      </c>
    </row>
    <row r="531" spans="1:13" x14ac:dyDescent="0.25">
      <c r="A531">
        <v>13</v>
      </c>
      <c r="B531" t="s">
        <v>37</v>
      </c>
      <c r="C531">
        <v>4.2</v>
      </c>
      <c r="D531" t="s">
        <v>35</v>
      </c>
      <c r="E531">
        <v>7.9</v>
      </c>
      <c r="F531">
        <v>2.7</v>
      </c>
      <c r="G531">
        <v>3.76</v>
      </c>
      <c r="H531">
        <v>0.1</v>
      </c>
      <c r="I531" t="s">
        <v>40</v>
      </c>
      <c r="J531">
        <v>10</v>
      </c>
      <c r="K531">
        <v>7</v>
      </c>
      <c r="L531">
        <v>2</v>
      </c>
      <c r="M531">
        <v>0</v>
      </c>
    </row>
    <row r="532" spans="1:13" x14ac:dyDescent="0.25">
      <c r="A532">
        <v>17</v>
      </c>
      <c r="B532" t="s">
        <v>37</v>
      </c>
      <c r="C532">
        <v>6.7</v>
      </c>
      <c r="D532" t="s">
        <v>41</v>
      </c>
      <c r="E532">
        <v>7.9</v>
      </c>
      <c r="F532">
        <v>1.4</v>
      </c>
      <c r="G532">
        <v>3.91</v>
      </c>
      <c r="H532">
        <v>0.4</v>
      </c>
      <c r="I532" t="s">
        <v>39</v>
      </c>
      <c r="J532">
        <v>3</v>
      </c>
      <c r="K532">
        <v>3</v>
      </c>
      <c r="L532">
        <v>1</v>
      </c>
      <c r="M532">
        <v>0</v>
      </c>
    </row>
    <row r="533" spans="1:13" x14ac:dyDescent="0.25">
      <c r="A533">
        <v>17</v>
      </c>
      <c r="B533" t="s">
        <v>37</v>
      </c>
      <c r="C533">
        <v>2.2000000000000002</v>
      </c>
      <c r="D533" t="s">
        <v>41</v>
      </c>
      <c r="E533">
        <v>7.2</v>
      </c>
      <c r="F533">
        <v>0.5</v>
      </c>
      <c r="G533">
        <v>2.38</v>
      </c>
      <c r="H533">
        <v>1.2</v>
      </c>
      <c r="I533" t="s">
        <v>40</v>
      </c>
      <c r="J533">
        <v>10</v>
      </c>
      <c r="K533">
        <v>4</v>
      </c>
      <c r="L533">
        <v>8</v>
      </c>
      <c r="M533">
        <v>0</v>
      </c>
    </row>
    <row r="534" spans="1:13" x14ac:dyDescent="0.25">
      <c r="A534">
        <v>17</v>
      </c>
      <c r="B534" t="s">
        <v>37</v>
      </c>
      <c r="C534">
        <v>1.1000000000000001</v>
      </c>
      <c r="D534" t="s">
        <v>38</v>
      </c>
      <c r="E534">
        <v>6.8</v>
      </c>
      <c r="F534">
        <v>0.6</v>
      </c>
      <c r="G534">
        <v>2.2799999999999998</v>
      </c>
      <c r="H534">
        <v>1.6</v>
      </c>
      <c r="I534" t="s">
        <v>40</v>
      </c>
      <c r="J534">
        <v>9</v>
      </c>
      <c r="K534">
        <v>3</v>
      </c>
      <c r="L534">
        <v>7</v>
      </c>
      <c r="M534">
        <v>0</v>
      </c>
    </row>
    <row r="535" spans="1:13" x14ac:dyDescent="0.25">
      <c r="A535">
        <v>16</v>
      </c>
      <c r="B535" t="s">
        <v>37</v>
      </c>
      <c r="C535">
        <v>6.4</v>
      </c>
      <c r="D535" t="s">
        <v>38</v>
      </c>
      <c r="E535">
        <v>5.9</v>
      </c>
      <c r="F535">
        <v>2.8</v>
      </c>
      <c r="G535">
        <v>3.81</v>
      </c>
      <c r="H535">
        <v>1.3</v>
      </c>
      <c r="I535" t="s">
        <v>39</v>
      </c>
      <c r="J535">
        <v>1</v>
      </c>
      <c r="K535">
        <v>3</v>
      </c>
      <c r="L535">
        <v>7</v>
      </c>
      <c r="M535">
        <v>0</v>
      </c>
    </row>
    <row r="536" spans="1:13" x14ac:dyDescent="0.25">
      <c r="A536">
        <v>19</v>
      </c>
      <c r="B536" t="s">
        <v>37</v>
      </c>
      <c r="C536">
        <v>2.8</v>
      </c>
      <c r="D536" t="s">
        <v>35</v>
      </c>
      <c r="E536">
        <v>5.9</v>
      </c>
      <c r="F536">
        <v>1.5</v>
      </c>
      <c r="G536">
        <v>2.85</v>
      </c>
      <c r="H536">
        <v>0.6</v>
      </c>
      <c r="I536" t="s">
        <v>39</v>
      </c>
      <c r="J536">
        <v>10</v>
      </c>
      <c r="K536">
        <v>9</v>
      </c>
      <c r="L536">
        <v>4</v>
      </c>
      <c r="M536">
        <v>0</v>
      </c>
    </row>
    <row r="537" spans="1:13" x14ac:dyDescent="0.25">
      <c r="A537">
        <v>13</v>
      </c>
      <c r="B537" t="s">
        <v>34</v>
      </c>
      <c r="C537">
        <v>2.2000000000000002</v>
      </c>
      <c r="D537" t="s">
        <v>41</v>
      </c>
      <c r="E537">
        <v>5.8</v>
      </c>
      <c r="F537">
        <v>2</v>
      </c>
      <c r="G537">
        <v>3.63</v>
      </c>
      <c r="H537">
        <v>1.9</v>
      </c>
      <c r="I537" t="s">
        <v>36</v>
      </c>
      <c r="J537">
        <v>4</v>
      </c>
      <c r="K537">
        <v>4</v>
      </c>
      <c r="L537">
        <v>10</v>
      </c>
      <c r="M537">
        <v>0</v>
      </c>
    </row>
    <row r="538" spans="1:13" x14ac:dyDescent="0.25">
      <c r="A538">
        <v>19</v>
      </c>
      <c r="B538" t="s">
        <v>34</v>
      </c>
      <c r="C538">
        <v>5.7</v>
      </c>
      <c r="D538" t="s">
        <v>35</v>
      </c>
      <c r="E538">
        <v>4.8</v>
      </c>
      <c r="F538">
        <v>2.2000000000000002</v>
      </c>
      <c r="G538">
        <v>3.66</v>
      </c>
      <c r="H538">
        <v>0.9</v>
      </c>
      <c r="I538" t="s">
        <v>36</v>
      </c>
      <c r="J538">
        <v>3</v>
      </c>
      <c r="K538">
        <v>7</v>
      </c>
      <c r="L538">
        <v>5</v>
      </c>
      <c r="M538">
        <v>0</v>
      </c>
    </row>
    <row r="539" spans="1:13" x14ac:dyDescent="0.25">
      <c r="A539">
        <v>15</v>
      </c>
      <c r="B539" t="s">
        <v>34</v>
      </c>
      <c r="C539">
        <v>5.3</v>
      </c>
      <c r="D539" t="s">
        <v>41</v>
      </c>
      <c r="E539">
        <v>7.3</v>
      </c>
      <c r="F539">
        <v>1.9</v>
      </c>
      <c r="G539">
        <v>2.5099999999999998</v>
      </c>
      <c r="H539">
        <v>1.4</v>
      </c>
      <c r="I539" t="s">
        <v>39</v>
      </c>
      <c r="J539">
        <v>10</v>
      </c>
      <c r="K539">
        <v>4</v>
      </c>
      <c r="L539">
        <v>2</v>
      </c>
      <c r="M539">
        <v>0</v>
      </c>
    </row>
    <row r="540" spans="1:13" x14ac:dyDescent="0.25">
      <c r="A540">
        <v>14</v>
      </c>
      <c r="B540" t="s">
        <v>34</v>
      </c>
      <c r="C540">
        <v>3.1</v>
      </c>
      <c r="D540" t="s">
        <v>38</v>
      </c>
      <c r="E540">
        <v>8.8000000000000007</v>
      </c>
      <c r="F540">
        <v>1.5</v>
      </c>
      <c r="G540">
        <v>3.91</v>
      </c>
      <c r="H540">
        <v>0.6</v>
      </c>
      <c r="I540" t="s">
        <v>40</v>
      </c>
      <c r="J540">
        <v>4</v>
      </c>
      <c r="K540">
        <v>9</v>
      </c>
      <c r="L540">
        <v>6</v>
      </c>
      <c r="M540">
        <v>0</v>
      </c>
    </row>
    <row r="541" spans="1:13" x14ac:dyDescent="0.25">
      <c r="A541">
        <v>16</v>
      </c>
      <c r="B541" t="s">
        <v>34</v>
      </c>
      <c r="C541">
        <v>1.7</v>
      </c>
      <c r="D541" t="s">
        <v>38</v>
      </c>
      <c r="E541">
        <v>4.9000000000000004</v>
      </c>
      <c r="F541">
        <v>0.6</v>
      </c>
      <c r="G541">
        <v>3.38</v>
      </c>
      <c r="H541">
        <v>1.1000000000000001</v>
      </c>
      <c r="I541" t="s">
        <v>40</v>
      </c>
      <c r="J541">
        <v>10</v>
      </c>
      <c r="K541">
        <v>4</v>
      </c>
      <c r="L541">
        <v>6</v>
      </c>
      <c r="M541">
        <v>0</v>
      </c>
    </row>
    <row r="542" spans="1:13" x14ac:dyDescent="0.25">
      <c r="A542">
        <v>19</v>
      </c>
      <c r="B542" t="s">
        <v>37</v>
      </c>
      <c r="C542">
        <v>6.7</v>
      </c>
      <c r="D542" t="s">
        <v>35</v>
      </c>
      <c r="E542">
        <v>7.3</v>
      </c>
      <c r="F542">
        <v>2.8</v>
      </c>
      <c r="G542">
        <v>2.2599999999999998</v>
      </c>
      <c r="H542">
        <v>1.4</v>
      </c>
      <c r="I542" t="s">
        <v>39</v>
      </c>
      <c r="J542">
        <v>7</v>
      </c>
      <c r="K542">
        <v>6</v>
      </c>
      <c r="L542">
        <v>8</v>
      </c>
      <c r="M542">
        <v>0</v>
      </c>
    </row>
    <row r="543" spans="1:13" x14ac:dyDescent="0.25">
      <c r="A543">
        <v>13</v>
      </c>
      <c r="B543" t="s">
        <v>37</v>
      </c>
      <c r="C543">
        <v>7.8</v>
      </c>
      <c r="D543" t="s">
        <v>35</v>
      </c>
      <c r="E543">
        <v>7.4</v>
      </c>
      <c r="F543">
        <v>1.7</v>
      </c>
      <c r="G543">
        <v>2.76</v>
      </c>
      <c r="H543">
        <v>1.1000000000000001</v>
      </c>
      <c r="I543" t="s">
        <v>36</v>
      </c>
      <c r="J543">
        <v>10</v>
      </c>
      <c r="K543">
        <v>1</v>
      </c>
      <c r="L543">
        <v>4</v>
      </c>
      <c r="M543">
        <v>0</v>
      </c>
    </row>
    <row r="544" spans="1:13" x14ac:dyDescent="0.25">
      <c r="A544">
        <v>18</v>
      </c>
      <c r="B544" t="s">
        <v>37</v>
      </c>
      <c r="C544">
        <v>2.1</v>
      </c>
      <c r="D544" t="s">
        <v>41</v>
      </c>
      <c r="E544">
        <v>6.7</v>
      </c>
      <c r="F544">
        <v>0.9</v>
      </c>
      <c r="G544">
        <v>3.73</v>
      </c>
      <c r="H544">
        <v>0.7</v>
      </c>
      <c r="I544" t="s">
        <v>36</v>
      </c>
      <c r="J544">
        <v>3</v>
      </c>
      <c r="K544">
        <v>5</v>
      </c>
      <c r="L544">
        <v>7</v>
      </c>
      <c r="M544">
        <v>0</v>
      </c>
    </row>
    <row r="545" spans="1:13" x14ac:dyDescent="0.25">
      <c r="A545">
        <v>17</v>
      </c>
      <c r="B545" t="s">
        <v>37</v>
      </c>
      <c r="C545">
        <v>5.0999999999999996</v>
      </c>
      <c r="D545" t="s">
        <v>38</v>
      </c>
      <c r="E545">
        <v>8.6</v>
      </c>
      <c r="F545">
        <v>1.9</v>
      </c>
      <c r="G545">
        <v>3.33</v>
      </c>
      <c r="H545">
        <v>1.1000000000000001</v>
      </c>
      <c r="I545" t="s">
        <v>36</v>
      </c>
      <c r="J545">
        <v>1</v>
      </c>
      <c r="K545">
        <v>7</v>
      </c>
      <c r="L545">
        <v>8</v>
      </c>
      <c r="M545">
        <v>0</v>
      </c>
    </row>
    <row r="546" spans="1:13" x14ac:dyDescent="0.25">
      <c r="A546">
        <v>18</v>
      </c>
      <c r="B546" t="s">
        <v>37</v>
      </c>
      <c r="C546">
        <v>3.6</v>
      </c>
      <c r="D546" t="s">
        <v>35</v>
      </c>
      <c r="E546">
        <v>5.4</v>
      </c>
      <c r="F546">
        <v>0.9</v>
      </c>
      <c r="G546">
        <v>3.45</v>
      </c>
      <c r="H546">
        <v>0.5</v>
      </c>
      <c r="I546" t="s">
        <v>40</v>
      </c>
      <c r="J546">
        <v>1</v>
      </c>
      <c r="K546">
        <v>10</v>
      </c>
      <c r="L546">
        <v>2</v>
      </c>
      <c r="M546">
        <v>0</v>
      </c>
    </row>
    <row r="547" spans="1:13" x14ac:dyDescent="0.25">
      <c r="A547">
        <v>18</v>
      </c>
      <c r="B547" t="s">
        <v>34</v>
      </c>
      <c r="C547">
        <v>5</v>
      </c>
      <c r="D547" t="s">
        <v>41</v>
      </c>
      <c r="E547">
        <v>7.6</v>
      </c>
      <c r="F547">
        <v>2</v>
      </c>
      <c r="G547">
        <v>3.94</v>
      </c>
      <c r="H547">
        <v>0.5</v>
      </c>
      <c r="I547" t="s">
        <v>36</v>
      </c>
      <c r="J547">
        <v>4</v>
      </c>
      <c r="K547">
        <v>3</v>
      </c>
      <c r="L547">
        <v>3</v>
      </c>
      <c r="M547">
        <v>0</v>
      </c>
    </row>
    <row r="548" spans="1:13" x14ac:dyDescent="0.25">
      <c r="A548">
        <v>17</v>
      </c>
      <c r="B548" t="s">
        <v>34</v>
      </c>
      <c r="C548">
        <v>1.7</v>
      </c>
      <c r="D548" t="s">
        <v>41</v>
      </c>
      <c r="E548">
        <v>8.6</v>
      </c>
      <c r="F548">
        <v>0.9</v>
      </c>
      <c r="G548">
        <v>2.36</v>
      </c>
      <c r="H548">
        <v>1.7</v>
      </c>
      <c r="I548" t="s">
        <v>36</v>
      </c>
      <c r="J548">
        <v>9</v>
      </c>
      <c r="K548">
        <v>1</v>
      </c>
      <c r="L548">
        <v>3</v>
      </c>
      <c r="M548">
        <v>0</v>
      </c>
    </row>
    <row r="549" spans="1:13" x14ac:dyDescent="0.25">
      <c r="A549">
        <v>17</v>
      </c>
      <c r="B549" t="s">
        <v>34</v>
      </c>
      <c r="C549">
        <v>6.8</v>
      </c>
      <c r="D549" t="s">
        <v>35</v>
      </c>
      <c r="E549">
        <v>4.7</v>
      </c>
      <c r="F549">
        <v>0.6</v>
      </c>
      <c r="G549">
        <v>3.4</v>
      </c>
      <c r="H549">
        <v>0.9</v>
      </c>
      <c r="I549" t="s">
        <v>36</v>
      </c>
      <c r="J549">
        <v>3</v>
      </c>
      <c r="K549">
        <v>9</v>
      </c>
      <c r="L549">
        <v>7</v>
      </c>
      <c r="M549">
        <v>0</v>
      </c>
    </row>
    <row r="550" spans="1:13" x14ac:dyDescent="0.25">
      <c r="A550">
        <v>14</v>
      </c>
      <c r="B550" t="s">
        <v>34</v>
      </c>
      <c r="C550">
        <v>3.8</v>
      </c>
      <c r="D550" t="s">
        <v>41</v>
      </c>
      <c r="E550">
        <v>7.5</v>
      </c>
      <c r="F550">
        <v>0.5</v>
      </c>
      <c r="G550">
        <v>2.1800000000000002</v>
      </c>
      <c r="H550">
        <v>1</v>
      </c>
      <c r="I550" t="s">
        <v>40</v>
      </c>
      <c r="J550">
        <v>5</v>
      </c>
      <c r="K550">
        <v>2</v>
      </c>
      <c r="L550">
        <v>2</v>
      </c>
      <c r="M550">
        <v>0</v>
      </c>
    </row>
    <row r="551" spans="1:13" x14ac:dyDescent="0.25">
      <c r="A551">
        <v>16</v>
      </c>
      <c r="B551" t="s">
        <v>34</v>
      </c>
      <c r="C551">
        <v>2.1</v>
      </c>
      <c r="D551" t="s">
        <v>35</v>
      </c>
      <c r="E551">
        <v>7.7</v>
      </c>
      <c r="F551">
        <v>1.1000000000000001</v>
      </c>
      <c r="G551">
        <v>2.27</v>
      </c>
      <c r="H551">
        <v>1.1000000000000001</v>
      </c>
      <c r="I551" t="s">
        <v>40</v>
      </c>
      <c r="J551">
        <v>3</v>
      </c>
      <c r="K551">
        <v>2</v>
      </c>
      <c r="L551">
        <v>4</v>
      </c>
      <c r="M551">
        <v>0</v>
      </c>
    </row>
    <row r="552" spans="1:13" x14ac:dyDescent="0.25">
      <c r="A552">
        <v>15</v>
      </c>
      <c r="B552" t="s">
        <v>37</v>
      </c>
      <c r="C552">
        <v>3.2</v>
      </c>
      <c r="D552" t="s">
        <v>35</v>
      </c>
      <c r="E552">
        <v>4</v>
      </c>
      <c r="F552">
        <v>2</v>
      </c>
      <c r="G552">
        <v>3.25</v>
      </c>
      <c r="H552">
        <v>0.7</v>
      </c>
      <c r="I552" t="s">
        <v>36</v>
      </c>
      <c r="J552">
        <v>8</v>
      </c>
      <c r="K552">
        <v>4</v>
      </c>
      <c r="L552">
        <v>8</v>
      </c>
      <c r="M552">
        <v>0</v>
      </c>
    </row>
    <row r="553" spans="1:13" x14ac:dyDescent="0.25">
      <c r="A553">
        <v>18</v>
      </c>
      <c r="B553" t="s">
        <v>34</v>
      </c>
      <c r="C553">
        <v>1.9</v>
      </c>
      <c r="D553" t="s">
        <v>35</v>
      </c>
      <c r="E553">
        <v>5.6</v>
      </c>
      <c r="F553">
        <v>2.2999999999999998</v>
      </c>
      <c r="G553">
        <v>2.8</v>
      </c>
      <c r="H553">
        <v>1.9</v>
      </c>
      <c r="I553" t="s">
        <v>40</v>
      </c>
      <c r="J553">
        <v>8</v>
      </c>
      <c r="K553">
        <v>1</v>
      </c>
      <c r="L553">
        <v>8</v>
      </c>
      <c r="M553">
        <v>0</v>
      </c>
    </row>
    <row r="554" spans="1:13" x14ac:dyDescent="0.25">
      <c r="A554">
        <v>13</v>
      </c>
      <c r="B554" t="s">
        <v>37</v>
      </c>
      <c r="C554">
        <v>3.5</v>
      </c>
      <c r="D554" t="s">
        <v>35</v>
      </c>
      <c r="E554">
        <v>6.8</v>
      </c>
      <c r="F554">
        <v>1.5</v>
      </c>
      <c r="G554">
        <v>2.35</v>
      </c>
      <c r="H554">
        <v>1.8</v>
      </c>
      <c r="I554" t="s">
        <v>40</v>
      </c>
      <c r="J554">
        <v>7</v>
      </c>
      <c r="K554">
        <v>3</v>
      </c>
      <c r="L554">
        <v>2</v>
      </c>
      <c r="M554">
        <v>0</v>
      </c>
    </row>
    <row r="555" spans="1:13" x14ac:dyDescent="0.25">
      <c r="A555">
        <v>15</v>
      </c>
      <c r="B555" t="s">
        <v>37</v>
      </c>
      <c r="C555">
        <v>4.5</v>
      </c>
      <c r="D555" t="s">
        <v>35</v>
      </c>
      <c r="E555">
        <v>7.7</v>
      </c>
      <c r="F555">
        <v>0.9</v>
      </c>
      <c r="G555">
        <v>2.61</v>
      </c>
      <c r="H555">
        <v>1.1000000000000001</v>
      </c>
      <c r="I555" t="s">
        <v>40</v>
      </c>
      <c r="J555">
        <v>9</v>
      </c>
      <c r="K555">
        <v>10</v>
      </c>
      <c r="L555">
        <v>4</v>
      </c>
      <c r="M555">
        <v>0</v>
      </c>
    </row>
    <row r="556" spans="1:13" x14ac:dyDescent="0.25">
      <c r="A556">
        <v>13</v>
      </c>
      <c r="B556" t="s">
        <v>37</v>
      </c>
      <c r="C556">
        <v>6</v>
      </c>
      <c r="D556" t="s">
        <v>38</v>
      </c>
      <c r="E556">
        <v>5</v>
      </c>
      <c r="F556">
        <v>2.5</v>
      </c>
      <c r="G556">
        <v>2.5499999999999998</v>
      </c>
      <c r="H556">
        <v>1.8</v>
      </c>
      <c r="I556" t="s">
        <v>39</v>
      </c>
      <c r="J556">
        <v>4</v>
      </c>
      <c r="K556">
        <v>9</v>
      </c>
      <c r="L556">
        <v>2</v>
      </c>
      <c r="M556">
        <v>0</v>
      </c>
    </row>
    <row r="557" spans="1:13" x14ac:dyDescent="0.25">
      <c r="A557">
        <v>13</v>
      </c>
      <c r="B557" t="s">
        <v>37</v>
      </c>
      <c r="C557">
        <v>3.6</v>
      </c>
      <c r="D557" t="s">
        <v>38</v>
      </c>
      <c r="E557">
        <v>4.8</v>
      </c>
      <c r="F557">
        <v>2.2000000000000002</v>
      </c>
      <c r="G557">
        <v>3.58</v>
      </c>
      <c r="H557">
        <v>1.2</v>
      </c>
      <c r="I557" t="s">
        <v>40</v>
      </c>
      <c r="J557">
        <v>4</v>
      </c>
      <c r="K557">
        <v>4</v>
      </c>
      <c r="L557">
        <v>7</v>
      </c>
      <c r="M557">
        <v>0</v>
      </c>
    </row>
    <row r="558" spans="1:13" x14ac:dyDescent="0.25">
      <c r="A558">
        <v>19</v>
      </c>
      <c r="B558" t="s">
        <v>34</v>
      </c>
      <c r="C558">
        <v>5.2</v>
      </c>
      <c r="D558" t="s">
        <v>38</v>
      </c>
      <c r="E558">
        <v>6.9</v>
      </c>
      <c r="F558">
        <v>2.2999999999999998</v>
      </c>
      <c r="G558">
        <v>2.09</v>
      </c>
      <c r="H558">
        <v>0.2</v>
      </c>
      <c r="I558" t="s">
        <v>39</v>
      </c>
      <c r="J558">
        <v>6</v>
      </c>
      <c r="K558">
        <v>4</v>
      </c>
      <c r="L558">
        <v>8</v>
      </c>
      <c r="M558">
        <v>0</v>
      </c>
    </row>
    <row r="559" spans="1:13" x14ac:dyDescent="0.25">
      <c r="A559">
        <v>13</v>
      </c>
      <c r="B559" t="s">
        <v>34</v>
      </c>
      <c r="C559">
        <v>2.7</v>
      </c>
      <c r="D559" t="s">
        <v>41</v>
      </c>
      <c r="E559">
        <v>6.9</v>
      </c>
      <c r="F559">
        <v>1.4</v>
      </c>
      <c r="G559">
        <v>2.87</v>
      </c>
      <c r="H559">
        <v>1.5</v>
      </c>
      <c r="I559" t="s">
        <v>36</v>
      </c>
      <c r="J559">
        <v>2</v>
      </c>
      <c r="K559">
        <v>6</v>
      </c>
      <c r="L559">
        <v>3</v>
      </c>
      <c r="M559">
        <v>0</v>
      </c>
    </row>
    <row r="560" spans="1:13" x14ac:dyDescent="0.25">
      <c r="A560">
        <v>16</v>
      </c>
      <c r="B560" t="s">
        <v>37</v>
      </c>
      <c r="C560">
        <v>2.8</v>
      </c>
      <c r="D560" t="s">
        <v>38</v>
      </c>
      <c r="E560">
        <v>7.1</v>
      </c>
      <c r="F560">
        <v>1.4</v>
      </c>
      <c r="G560">
        <v>3.85</v>
      </c>
      <c r="H560">
        <v>0.4</v>
      </c>
      <c r="I560" t="s">
        <v>39</v>
      </c>
      <c r="J560">
        <v>7</v>
      </c>
      <c r="K560">
        <v>9</v>
      </c>
      <c r="L560">
        <v>8</v>
      </c>
      <c r="M560">
        <v>0</v>
      </c>
    </row>
    <row r="561" spans="1:13" x14ac:dyDescent="0.25">
      <c r="A561">
        <v>14</v>
      </c>
      <c r="B561" t="s">
        <v>34</v>
      </c>
      <c r="C561">
        <v>5.6</v>
      </c>
      <c r="D561" t="s">
        <v>35</v>
      </c>
      <c r="E561">
        <v>7</v>
      </c>
      <c r="F561">
        <v>1.9</v>
      </c>
      <c r="G561">
        <v>2.58</v>
      </c>
      <c r="H561">
        <v>0.4</v>
      </c>
      <c r="I561" t="s">
        <v>36</v>
      </c>
      <c r="J561">
        <v>5</v>
      </c>
      <c r="K561">
        <v>7</v>
      </c>
      <c r="L561">
        <v>3</v>
      </c>
      <c r="M561">
        <v>0</v>
      </c>
    </row>
    <row r="562" spans="1:13" x14ac:dyDescent="0.25">
      <c r="A562">
        <v>16</v>
      </c>
      <c r="B562" t="s">
        <v>34</v>
      </c>
      <c r="C562">
        <v>2.7</v>
      </c>
      <c r="D562" t="s">
        <v>41</v>
      </c>
      <c r="E562">
        <v>7.2</v>
      </c>
      <c r="F562">
        <v>0.6</v>
      </c>
      <c r="G562">
        <v>3.98</v>
      </c>
      <c r="H562">
        <v>1.7</v>
      </c>
      <c r="I562" t="s">
        <v>36</v>
      </c>
      <c r="J562">
        <v>6</v>
      </c>
      <c r="K562">
        <v>1</v>
      </c>
      <c r="L562">
        <v>5</v>
      </c>
      <c r="M562">
        <v>0</v>
      </c>
    </row>
    <row r="563" spans="1:13" x14ac:dyDescent="0.25">
      <c r="A563">
        <v>14</v>
      </c>
      <c r="B563" t="s">
        <v>34</v>
      </c>
      <c r="C563">
        <v>4.2</v>
      </c>
      <c r="D563" t="s">
        <v>41</v>
      </c>
      <c r="E563">
        <v>7</v>
      </c>
      <c r="F563">
        <v>1.1000000000000001</v>
      </c>
      <c r="G563">
        <v>2.12</v>
      </c>
      <c r="H563">
        <v>0.9</v>
      </c>
      <c r="I563" t="s">
        <v>39</v>
      </c>
      <c r="J563">
        <v>4</v>
      </c>
      <c r="K563">
        <v>8</v>
      </c>
      <c r="L563">
        <v>1</v>
      </c>
      <c r="M563">
        <v>0</v>
      </c>
    </row>
    <row r="564" spans="1:13" x14ac:dyDescent="0.25">
      <c r="A564">
        <v>18</v>
      </c>
      <c r="B564" t="s">
        <v>37</v>
      </c>
      <c r="C564">
        <v>5.0999999999999996</v>
      </c>
      <c r="D564" t="s">
        <v>38</v>
      </c>
      <c r="E564">
        <v>8.1999999999999993</v>
      </c>
      <c r="F564">
        <v>2.8</v>
      </c>
      <c r="G564">
        <v>2.1800000000000002</v>
      </c>
      <c r="H564">
        <v>0.5</v>
      </c>
      <c r="I564" t="s">
        <v>39</v>
      </c>
      <c r="J564">
        <v>8</v>
      </c>
      <c r="K564">
        <v>8</v>
      </c>
      <c r="L564">
        <v>8</v>
      </c>
      <c r="M564">
        <v>0</v>
      </c>
    </row>
    <row r="565" spans="1:13" x14ac:dyDescent="0.25">
      <c r="A565">
        <v>15</v>
      </c>
      <c r="B565" t="s">
        <v>37</v>
      </c>
      <c r="C565">
        <v>5.7</v>
      </c>
      <c r="D565" t="s">
        <v>35</v>
      </c>
      <c r="E565">
        <v>6.1</v>
      </c>
      <c r="F565">
        <v>0.7</v>
      </c>
      <c r="G565">
        <v>3.08</v>
      </c>
      <c r="H565">
        <v>0.6</v>
      </c>
      <c r="I565" t="s">
        <v>40</v>
      </c>
      <c r="J565">
        <v>5</v>
      </c>
      <c r="K565">
        <v>9</v>
      </c>
      <c r="L565">
        <v>7</v>
      </c>
      <c r="M565">
        <v>0</v>
      </c>
    </row>
    <row r="566" spans="1:13" x14ac:dyDescent="0.25">
      <c r="A566">
        <v>13</v>
      </c>
      <c r="B566" t="s">
        <v>37</v>
      </c>
      <c r="C566">
        <v>1.5</v>
      </c>
      <c r="D566" t="s">
        <v>41</v>
      </c>
      <c r="E566">
        <v>7.9</v>
      </c>
      <c r="F566">
        <v>1.8</v>
      </c>
      <c r="G566">
        <v>2.85</v>
      </c>
      <c r="H566">
        <v>1.1000000000000001</v>
      </c>
      <c r="I566" t="s">
        <v>40</v>
      </c>
      <c r="J566">
        <v>5</v>
      </c>
      <c r="K566">
        <v>7</v>
      </c>
      <c r="L566">
        <v>1</v>
      </c>
      <c r="M566">
        <v>0</v>
      </c>
    </row>
    <row r="567" spans="1:13" x14ac:dyDescent="0.25">
      <c r="A567">
        <v>15</v>
      </c>
      <c r="B567" t="s">
        <v>37</v>
      </c>
      <c r="C567">
        <v>6.9</v>
      </c>
      <c r="D567" t="s">
        <v>38</v>
      </c>
      <c r="E567">
        <v>8.3000000000000007</v>
      </c>
      <c r="F567">
        <v>2.4</v>
      </c>
      <c r="G567">
        <v>3.34</v>
      </c>
      <c r="H567">
        <v>1.2</v>
      </c>
      <c r="I567" t="s">
        <v>39</v>
      </c>
      <c r="J567">
        <v>2</v>
      </c>
      <c r="K567">
        <v>4</v>
      </c>
      <c r="L567">
        <v>9</v>
      </c>
      <c r="M567">
        <v>0</v>
      </c>
    </row>
    <row r="568" spans="1:13" x14ac:dyDescent="0.25">
      <c r="A568">
        <v>14</v>
      </c>
      <c r="B568" t="s">
        <v>34</v>
      </c>
      <c r="C568">
        <v>4.7</v>
      </c>
      <c r="D568" t="s">
        <v>38</v>
      </c>
      <c r="E568">
        <v>7.9</v>
      </c>
      <c r="F568">
        <v>2.9</v>
      </c>
      <c r="G568">
        <v>2.54</v>
      </c>
      <c r="H568">
        <v>0.7</v>
      </c>
      <c r="I568" t="s">
        <v>39</v>
      </c>
      <c r="J568">
        <v>5</v>
      </c>
      <c r="K568">
        <v>8</v>
      </c>
      <c r="L568">
        <v>7</v>
      </c>
      <c r="M568">
        <v>0</v>
      </c>
    </row>
    <row r="569" spans="1:13" x14ac:dyDescent="0.25">
      <c r="A569">
        <v>15</v>
      </c>
      <c r="B569" t="s">
        <v>37</v>
      </c>
      <c r="C569">
        <v>2.7</v>
      </c>
      <c r="D569" t="s">
        <v>41</v>
      </c>
      <c r="E569">
        <v>8.5</v>
      </c>
      <c r="F569">
        <v>0.8</v>
      </c>
      <c r="G569">
        <v>2.91</v>
      </c>
      <c r="H569">
        <v>1.3</v>
      </c>
      <c r="I569" t="s">
        <v>36</v>
      </c>
      <c r="J569">
        <v>6</v>
      </c>
      <c r="K569">
        <v>3</v>
      </c>
      <c r="L569">
        <v>1</v>
      </c>
      <c r="M569">
        <v>0</v>
      </c>
    </row>
    <row r="570" spans="1:13" x14ac:dyDescent="0.25">
      <c r="A570">
        <v>13</v>
      </c>
      <c r="B570" t="s">
        <v>37</v>
      </c>
      <c r="C570">
        <v>6.1</v>
      </c>
      <c r="D570" t="s">
        <v>41</v>
      </c>
      <c r="E570">
        <v>6.4</v>
      </c>
      <c r="F570">
        <v>2.8</v>
      </c>
      <c r="G570">
        <v>2.5099999999999998</v>
      </c>
      <c r="H570">
        <v>1.9</v>
      </c>
      <c r="I570" t="s">
        <v>36</v>
      </c>
      <c r="J570">
        <v>6</v>
      </c>
      <c r="K570">
        <v>1</v>
      </c>
      <c r="L570">
        <v>9</v>
      </c>
      <c r="M570">
        <v>0</v>
      </c>
    </row>
    <row r="571" spans="1:13" x14ac:dyDescent="0.25">
      <c r="A571">
        <v>17</v>
      </c>
      <c r="B571" t="s">
        <v>37</v>
      </c>
      <c r="C571">
        <v>5</v>
      </c>
      <c r="D571" t="s">
        <v>38</v>
      </c>
      <c r="E571">
        <v>7.3</v>
      </c>
      <c r="F571">
        <v>1.9</v>
      </c>
      <c r="G571">
        <v>3.83</v>
      </c>
      <c r="H571">
        <v>0.4</v>
      </c>
      <c r="I571" t="s">
        <v>39</v>
      </c>
      <c r="J571">
        <v>8</v>
      </c>
      <c r="K571">
        <v>9</v>
      </c>
      <c r="L571">
        <v>9</v>
      </c>
      <c r="M571">
        <v>0</v>
      </c>
    </row>
    <row r="572" spans="1:13" x14ac:dyDescent="0.25">
      <c r="A572">
        <v>17</v>
      </c>
      <c r="B572" t="s">
        <v>37</v>
      </c>
      <c r="C572">
        <v>5.3</v>
      </c>
      <c r="D572" t="s">
        <v>41</v>
      </c>
      <c r="E572">
        <v>6.8</v>
      </c>
      <c r="F572">
        <v>1.9</v>
      </c>
      <c r="G572">
        <v>3.39</v>
      </c>
      <c r="H572">
        <v>1.6</v>
      </c>
      <c r="I572" t="s">
        <v>36</v>
      </c>
      <c r="J572">
        <v>10</v>
      </c>
      <c r="K572">
        <v>6</v>
      </c>
      <c r="L572">
        <v>8</v>
      </c>
      <c r="M572">
        <v>0</v>
      </c>
    </row>
    <row r="573" spans="1:13" x14ac:dyDescent="0.25">
      <c r="A573">
        <v>19</v>
      </c>
      <c r="B573" t="s">
        <v>34</v>
      </c>
      <c r="C573">
        <v>7.2</v>
      </c>
      <c r="D573" t="s">
        <v>38</v>
      </c>
      <c r="E573">
        <v>6.6</v>
      </c>
      <c r="F573">
        <v>2.9</v>
      </c>
      <c r="G573">
        <v>2.74</v>
      </c>
      <c r="H573">
        <v>0.3</v>
      </c>
      <c r="I573" t="s">
        <v>40</v>
      </c>
      <c r="J573">
        <v>1</v>
      </c>
      <c r="K573">
        <v>10</v>
      </c>
      <c r="L573">
        <v>9</v>
      </c>
      <c r="M573">
        <v>0</v>
      </c>
    </row>
    <row r="574" spans="1:13" x14ac:dyDescent="0.25">
      <c r="A574">
        <v>15</v>
      </c>
      <c r="B574" t="s">
        <v>34</v>
      </c>
      <c r="C574">
        <v>2.2999999999999998</v>
      </c>
      <c r="D574" t="s">
        <v>41</v>
      </c>
      <c r="E574">
        <v>5.7</v>
      </c>
      <c r="F574">
        <v>2.8</v>
      </c>
      <c r="G574">
        <v>2.79</v>
      </c>
      <c r="H574">
        <v>1.9</v>
      </c>
      <c r="I574" t="s">
        <v>40</v>
      </c>
      <c r="J574">
        <v>4</v>
      </c>
      <c r="K574">
        <v>1</v>
      </c>
      <c r="L574">
        <v>4</v>
      </c>
      <c r="M574">
        <v>0</v>
      </c>
    </row>
    <row r="575" spans="1:13" x14ac:dyDescent="0.25">
      <c r="A575">
        <v>17</v>
      </c>
      <c r="B575" t="s">
        <v>37</v>
      </c>
      <c r="C575">
        <v>7.3</v>
      </c>
      <c r="D575" t="s">
        <v>41</v>
      </c>
      <c r="E575">
        <v>7.8</v>
      </c>
      <c r="F575">
        <v>1.1000000000000001</v>
      </c>
      <c r="G575">
        <v>2.0299999999999998</v>
      </c>
      <c r="H575">
        <v>1.1000000000000001</v>
      </c>
      <c r="I575" t="s">
        <v>36</v>
      </c>
      <c r="J575">
        <v>3</v>
      </c>
      <c r="K575">
        <v>10</v>
      </c>
      <c r="L575">
        <v>6</v>
      </c>
      <c r="M575">
        <v>0</v>
      </c>
    </row>
    <row r="576" spans="1:13" x14ac:dyDescent="0.25">
      <c r="A576">
        <v>16</v>
      </c>
      <c r="B576" t="s">
        <v>37</v>
      </c>
      <c r="C576">
        <v>1.5</v>
      </c>
      <c r="D576" t="s">
        <v>35</v>
      </c>
      <c r="E576">
        <v>8</v>
      </c>
      <c r="F576">
        <v>0.7</v>
      </c>
      <c r="G576">
        <v>2.1800000000000002</v>
      </c>
      <c r="H576">
        <v>0.6</v>
      </c>
      <c r="I576" t="s">
        <v>40</v>
      </c>
      <c r="J576">
        <v>4</v>
      </c>
      <c r="K576">
        <v>7</v>
      </c>
      <c r="L576">
        <v>5</v>
      </c>
      <c r="M576">
        <v>0</v>
      </c>
    </row>
    <row r="577" spans="1:13" x14ac:dyDescent="0.25">
      <c r="A577">
        <v>18</v>
      </c>
      <c r="B577" t="s">
        <v>37</v>
      </c>
      <c r="C577">
        <v>2.2000000000000002</v>
      </c>
      <c r="D577" t="s">
        <v>35</v>
      </c>
      <c r="E577">
        <v>6.5</v>
      </c>
      <c r="F577">
        <v>1.9</v>
      </c>
      <c r="G577">
        <v>3.79</v>
      </c>
      <c r="H577">
        <v>0.2</v>
      </c>
      <c r="I577" t="s">
        <v>36</v>
      </c>
      <c r="J577">
        <v>1</v>
      </c>
      <c r="K577">
        <v>6</v>
      </c>
      <c r="L577">
        <v>2</v>
      </c>
      <c r="M577">
        <v>0</v>
      </c>
    </row>
    <row r="578" spans="1:13" x14ac:dyDescent="0.25">
      <c r="A578">
        <v>13</v>
      </c>
      <c r="B578" t="s">
        <v>37</v>
      </c>
      <c r="C578">
        <v>5.5</v>
      </c>
      <c r="D578" t="s">
        <v>41</v>
      </c>
      <c r="E578">
        <v>6.7</v>
      </c>
      <c r="F578">
        <v>1.6</v>
      </c>
      <c r="G578">
        <v>3.09</v>
      </c>
      <c r="H578">
        <v>1.7</v>
      </c>
      <c r="I578" t="s">
        <v>39</v>
      </c>
      <c r="J578">
        <v>10</v>
      </c>
      <c r="K578">
        <v>1</v>
      </c>
      <c r="L578">
        <v>6</v>
      </c>
      <c r="M578">
        <v>0</v>
      </c>
    </row>
    <row r="579" spans="1:13" x14ac:dyDescent="0.25">
      <c r="A579">
        <v>19</v>
      </c>
      <c r="B579" t="s">
        <v>34</v>
      </c>
      <c r="C579">
        <v>2.1</v>
      </c>
      <c r="D579" t="s">
        <v>38</v>
      </c>
      <c r="E579">
        <v>5.2</v>
      </c>
      <c r="F579">
        <v>2.5</v>
      </c>
      <c r="G579">
        <v>3.1</v>
      </c>
      <c r="H579">
        <v>0.3</v>
      </c>
      <c r="I579" t="s">
        <v>36</v>
      </c>
      <c r="J579">
        <v>9</v>
      </c>
      <c r="K579">
        <v>9</v>
      </c>
      <c r="L579">
        <v>3</v>
      </c>
      <c r="M579">
        <v>0</v>
      </c>
    </row>
    <row r="580" spans="1:13" x14ac:dyDescent="0.25">
      <c r="A580">
        <v>15</v>
      </c>
      <c r="B580" t="s">
        <v>37</v>
      </c>
      <c r="C580">
        <v>4.5</v>
      </c>
      <c r="D580" t="s">
        <v>41</v>
      </c>
      <c r="E580">
        <v>5.4</v>
      </c>
      <c r="F580">
        <v>1.2</v>
      </c>
      <c r="G580">
        <v>3.76</v>
      </c>
      <c r="H580">
        <v>1.7</v>
      </c>
      <c r="I580" t="s">
        <v>39</v>
      </c>
      <c r="J580">
        <v>1</v>
      </c>
      <c r="K580">
        <v>8</v>
      </c>
      <c r="L580">
        <v>7</v>
      </c>
      <c r="M580">
        <v>0</v>
      </c>
    </row>
    <row r="581" spans="1:13" x14ac:dyDescent="0.25">
      <c r="A581">
        <v>13</v>
      </c>
      <c r="B581" t="s">
        <v>34</v>
      </c>
      <c r="C581">
        <v>3.9</v>
      </c>
      <c r="D581" t="s">
        <v>41</v>
      </c>
      <c r="E581">
        <v>5.8</v>
      </c>
      <c r="F581">
        <v>0.7</v>
      </c>
      <c r="G581">
        <v>2.77</v>
      </c>
      <c r="H581">
        <v>1.3</v>
      </c>
      <c r="I581" t="s">
        <v>40</v>
      </c>
      <c r="J581">
        <v>10</v>
      </c>
      <c r="K581">
        <v>3</v>
      </c>
      <c r="L581">
        <v>1</v>
      </c>
      <c r="M581">
        <v>0</v>
      </c>
    </row>
    <row r="582" spans="1:13" x14ac:dyDescent="0.25">
      <c r="A582">
        <v>14</v>
      </c>
      <c r="B582" t="s">
        <v>34</v>
      </c>
      <c r="C582">
        <v>5.8</v>
      </c>
      <c r="D582" t="s">
        <v>35</v>
      </c>
      <c r="E582">
        <v>5.0999999999999996</v>
      </c>
      <c r="F582">
        <v>2.6</v>
      </c>
      <c r="G582">
        <v>2.06</v>
      </c>
      <c r="H582">
        <v>1.5</v>
      </c>
      <c r="I582" t="s">
        <v>40</v>
      </c>
      <c r="J582">
        <v>7</v>
      </c>
      <c r="K582">
        <v>5</v>
      </c>
      <c r="L582">
        <v>2</v>
      </c>
      <c r="M582">
        <v>0</v>
      </c>
    </row>
    <row r="583" spans="1:13" x14ac:dyDescent="0.25">
      <c r="A583">
        <v>13</v>
      </c>
      <c r="B583" t="s">
        <v>37</v>
      </c>
      <c r="C583">
        <v>7.2</v>
      </c>
      <c r="D583" t="s">
        <v>41</v>
      </c>
      <c r="E583">
        <v>4.2</v>
      </c>
      <c r="F583">
        <v>2.5</v>
      </c>
      <c r="G583">
        <v>2.65</v>
      </c>
      <c r="H583">
        <v>1.6</v>
      </c>
      <c r="I583" t="s">
        <v>36</v>
      </c>
      <c r="J583">
        <v>10</v>
      </c>
      <c r="K583">
        <v>9</v>
      </c>
      <c r="L583">
        <v>3</v>
      </c>
      <c r="M583">
        <v>1</v>
      </c>
    </row>
    <row r="584" spans="1:13" x14ac:dyDescent="0.25">
      <c r="A584">
        <v>17</v>
      </c>
      <c r="B584" t="s">
        <v>37</v>
      </c>
      <c r="C584">
        <v>2.9</v>
      </c>
      <c r="D584" t="s">
        <v>41</v>
      </c>
      <c r="E584">
        <v>7.5</v>
      </c>
      <c r="F584">
        <v>1.4</v>
      </c>
      <c r="G584">
        <v>3.42</v>
      </c>
      <c r="H584">
        <v>1.7</v>
      </c>
      <c r="I584" t="s">
        <v>36</v>
      </c>
      <c r="J584">
        <v>5</v>
      </c>
      <c r="K584">
        <v>6</v>
      </c>
      <c r="L584">
        <v>3</v>
      </c>
      <c r="M584">
        <v>0</v>
      </c>
    </row>
    <row r="585" spans="1:13" x14ac:dyDescent="0.25">
      <c r="A585">
        <v>17</v>
      </c>
      <c r="B585" t="s">
        <v>34</v>
      </c>
      <c r="C585">
        <v>6.2</v>
      </c>
      <c r="D585" t="s">
        <v>35</v>
      </c>
      <c r="E585">
        <v>7.4</v>
      </c>
      <c r="F585">
        <v>0.6</v>
      </c>
      <c r="G585">
        <v>3.38</v>
      </c>
      <c r="H585">
        <v>1.5</v>
      </c>
      <c r="I585" t="s">
        <v>36</v>
      </c>
      <c r="J585">
        <v>4</v>
      </c>
      <c r="K585">
        <v>7</v>
      </c>
      <c r="L585">
        <v>9</v>
      </c>
      <c r="M585">
        <v>0</v>
      </c>
    </row>
    <row r="586" spans="1:13" x14ac:dyDescent="0.25">
      <c r="A586">
        <v>18</v>
      </c>
      <c r="B586" t="s">
        <v>37</v>
      </c>
      <c r="C586">
        <v>1.1000000000000001</v>
      </c>
      <c r="D586" t="s">
        <v>41</v>
      </c>
      <c r="E586">
        <v>4.9000000000000004</v>
      </c>
      <c r="F586">
        <v>2.6</v>
      </c>
      <c r="G586">
        <v>2.4300000000000002</v>
      </c>
      <c r="H586">
        <v>1.3</v>
      </c>
      <c r="I586" t="s">
        <v>39</v>
      </c>
      <c r="J586">
        <v>9</v>
      </c>
      <c r="K586">
        <v>7</v>
      </c>
      <c r="L586">
        <v>6</v>
      </c>
      <c r="M586">
        <v>0</v>
      </c>
    </row>
    <row r="587" spans="1:13" x14ac:dyDescent="0.25">
      <c r="A587">
        <v>19</v>
      </c>
      <c r="B587" t="s">
        <v>34</v>
      </c>
      <c r="C587">
        <v>5.2</v>
      </c>
      <c r="D587" t="s">
        <v>35</v>
      </c>
      <c r="E587">
        <v>4.3</v>
      </c>
      <c r="F587">
        <v>1.3</v>
      </c>
      <c r="G587">
        <v>2.29</v>
      </c>
      <c r="H587">
        <v>1.3</v>
      </c>
      <c r="I587" t="s">
        <v>40</v>
      </c>
      <c r="J587">
        <v>10</v>
      </c>
      <c r="K587">
        <v>8</v>
      </c>
      <c r="L587">
        <v>10</v>
      </c>
      <c r="M587">
        <v>1</v>
      </c>
    </row>
    <row r="588" spans="1:13" x14ac:dyDescent="0.25">
      <c r="A588">
        <v>15</v>
      </c>
      <c r="B588" t="s">
        <v>37</v>
      </c>
      <c r="C588">
        <v>5</v>
      </c>
      <c r="D588" t="s">
        <v>35</v>
      </c>
      <c r="E588">
        <v>7.6</v>
      </c>
      <c r="F588">
        <v>1.8</v>
      </c>
      <c r="G588">
        <v>2.52</v>
      </c>
      <c r="H588">
        <v>1.4</v>
      </c>
      <c r="I588" t="s">
        <v>39</v>
      </c>
      <c r="J588">
        <v>1</v>
      </c>
      <c r="K588">
        <v>4</v>
      </c>
      <c r="L588">
        <v>3</v>
      </c>
      <c r="M588">
        <v>0</v>
      </c>
    </row>
    <row r="589" spans="1:13" x14ac:dyDescent="0.25">
      <c r="A589">
        <v>13</v>
      </c>
      <c r="B589" t="s">
        <v>37</v>
      </c>
      <c r="C589">
        <v>2.2999999999999998</v>
      </c>
      <c r="D589" t="s">
        <v>38</v>
      </c>
      <c r="E589">
        <v>8.6999999999999993</v>
      </c>
      <c r="F589">
        <v>1.2</v>
      </c>
      <c r="G589">
        <v>3.25</v>
      </c>
      <c r="H589">
        <v>1.5</v>
      </c>
      <c r="I589" t="s">
        <v>39</v>
      </c>
      <c r="J589">
        <v>9</v>
      </c>
      <c r="K589">
        <v>9</v>
      </c>
      <c r="L589">
        <v>1</v>
      </c>
      <c r="M589">
        <v>0</v>
      </c>
    </row>
    <row r="590" spans="1:13" x14ac:dyDescent="0.25">
      <c r="A590">
        <v>15</v>
      </c>
      <c r="B590" t="s">
        <v>37</v>
      </c>
      <c r="C590">
        <v>5.2</v>
      </c>
      <c r="D590" t="s">
        <v>38</v>
      </c>
      <c r="E590">
        <v>5.6</v>
      </c>
      <c r="F590">
        <v>1.5</v>
      </c>
      <c r="G590">
        <v>3.13</v>
      </c>
      <c r="H590">
        <v>0.1</v>
      </c>
      <c r="I590" t="s">
        <v>36</v>
      </c>
      <c r="J590">
        <v>7</v>
      </c>
      <c r="K590">
        <v>9</v>
      </c>
      <c r="L590">
        <v>4</v>
      </c>
      <c r="M590">
        <v>1</v>
      </c>
    </row>
    <row r="591" spans="1:13" x14ac:dyDescent="0.25">
      <c r="A591">
        <v>13</v>
      </c>
      <c r="B591" t="s">
        <v>37</v>
      </c>
      <c r="C591">
        <v>3.5</v>
      </c>
      <c r="D591" t="s">
        <v>41</v>
      </c>
      <c r="E591">
        <v>8.6999999999999993</v>
      </c>
      <c r="F591">
        <v>1.4</v>
      </c>
      <c r="G591">
        <v>3.5</v>
      </c>
      <c r="H591">
        <v>1.3</v>
      </c>
      <c r="I591" t="s">
        <v>39</v>
      </c>
      <c r="J591">
        <v>9</v>
      </c>
      <c r="K591">
        <v>4</v>
      </c>
      <c r="L591">
        <v>5</v>
      </c>
      <c r="M591">
        <v>0</v>
      </c>
    </row>
    <row r="592" spans="1:13" x14ac:dyDescent="0.25">
      <c r="A592">
        <v>16</v>
      </c>
      <c r="B592" t="s">
        <v>37</v>
      </c>
      <c r="C592">
        <v>3.5</v>
      </c>
      <c r="D592" t="s">
        <v>41</v>
      </c>
      <c r="E592">
        <v>4.2</v>
      </c>
      <c r="F592">
        <v>1.5</v>
      </c>
      <c r="G592">
        <v>3.98</v>
      </c>
      <c r="H592">
        <v>0.4</v>
      </c>
      <c r="I592" t="s">
        <v>40</v>
      </c>
      <c r="J592">
        <v>1</v>
      </c>
      <c r="K592">
        <v>7</v>
      </c>
      <c r="L592">
        <v>2</v>
      </c>
      <c r="M592">
        <v>0</v>
      </c>
    </row>
    <row r="593" spans="1:13" x14ac:dyDescent="0.25">
      <c r="A593">
        <v>19</v>
      </c>
      <c r="B593" t="s">
        <v>34</v>
      </c>
      <c r="C593">
        <v>7.7</v>
      </c>
      <c r="D593" t="s">
        <v>35</v>
      </c>
      <c r="E593">
        <v>4.2</v>
      </c>
      <c r="F593">
        <v>2.6</v>
      </c>
      <c r="G593">
        <v>2.2000000000000002</v>
      </c>
      <c r="H593">
        <v>1.8</v>
      </c>
      <c r="I593" t="s">
        <v>36</v>
      </c>
      <c r="J593">
        <v>8</v>
      </c>
      <c r="K593">
        <v>9</v>
      </c>
      <c r="L593">
        <v>4</v>
      </c>
      <c r="M593">
        <v>1</v>
      </c>
    </row>
    <row r="594" spans="1:13" x14ac:dyDescent="0.25">
      <c r="A594">
        <v>18</v>
      </c>
      <c r="B594" t="s">
        <v>37</v>
      </c>
      <c r="C594">
        <v>2</v>
      </c>
      <c r="D594" t="s">
        <v>41</v>
      </c>
      <c r="E594">
        <v>8.6</v>
      </c>
      <c r="F594">
        <v>2.2000000000000002</v>
      </c>
      <c r="G594">
        <v>3.53</v>
      </c>
      <c r="H594">
        <v>1.9</v>
      </c>
      <c r="I594" t="s">
        <v>36</v>
      </c>
      <c r="J594">
        <v>2</v>
      </c>
      <c r="K594">
        <v>5</v>
      </c>
      <c r="L594">
        <v>8</v>
      </c>
      <c r="M594">
        <v>0</v>
      </c>
    </row>
    <row r="595" spans="1:13" x14ac:dyDescent="0.25">
      <c r="A595">
        <v>13</v>
      </c>
      <c r="B595" t="s">
        <v>37</v>
      </c>
      <c r="C595">
        <v>5.0999999999999996</v>
      </c>
      <c r="D595" t="s">
        <v>38</v>
      </c>
      <c r="E595">
        <v>4.5</v>
      </c>
      <c r="F595">
        <v>2.7</v>
      </c>
      <c r="G595">
        <v>2.54</v>
      </c>
      <c r="H595">
        <v>1.4</v>
      </c>
      <c r="I595" t="s">
        <v>39</v>
      </c>
      <c r="J595">
        <v>2</v>
      </c>
      <c r="K595">
        <v>3</v>
      </c>
      <c r="L595">
        <v>10</v>
      </c>
      <c r="M595">
        <v>0</v>
      </c>
    </row>
    <row r="596" spans="1:13" x14ac:dyDescent="0.25">
      <c r="A596">
        <v>16</v>
      </c>
      <c r="B596" t="s">
        <v>34</v>
      </c>
      <c r="C596">
        <v>2</v>
      </c>
      <c r="D596" t="s">
        <v>35</v>
      </c>
      <c r="E596">
        <v>7.9</v>
      </c>
      <c r="F596">
        <v>2.4</v>
      </c>
      <c r="G596">
        <v>2.81</v>
      </c>
      <c r="H596">
        <v>1.9</v>
      </c>
      <c r="I596" t="s">
        <v>36</v>
      </c>
      <c r="J596">
        <v>10</v>
      </c>
      <c r="K596">
        <v>6</v>
      </c>
      <c r="L596">
        <v>6</v>
      </c>
      <c r="M596">
        <v>0</v>
      </c>
    </row>
    <row r="597" spans="1:13" x14ac:dyDescent="0.25">
      <c r="A597">
        <v>15</v>
      </c>
      <c r="B597" t="s">
        <v>34</v>
      </c>
      <c r="C597">
        <v>4.7</v>
      </c>
      <c r="D597" t="s">
        <v>35</v>
      </c>
      <c r="E597">
        <v>8.4</v>
      </c>
      <c r="F597">
        <v>1.9</v>
      </c>
      <c r="G597">
        <v>3.9</v>
      </c>
      <c r="H597">
        <v>1</v>
      </c>
      <c r="I597" t="s">
        <v>39</v>
      </c>
      <c r="J597">
        <v>4</v>
      </c>
      <c r="K597">
        <v>10</v>
      </c>
      <c r="L597">
        <v>6</v>
      </c>
      <c r="M597">
        <v>0</v>
      </c>
    </row>
    <row r="598" spans="1:13" x14ac:dyDescent="0.25">
      <c r="A598">
        <v>17</v>
      </c>
      <c r="B598" t="s">
        <v>37</v>
      </c>
      <c r="C598">
        <v>6.9</v>
      </c>
      <c r="D598" t="s">
        <v>38</v>
      </c>
      <c r="E598">
        <v>6.1</v>
      </c>
      <c r="F598">
        <v>2.4</v>
      </c>
      <c r="G598">
        <v>3.77</v>
      </c>
      <c r="H598">
        <v>1.1000000000000001</v>
      </c>
      <c r="I598" t="s">
        <v>40</v>
      </c>
      <c r="J598">
        <v>9</v>
      </c>
      <c r="K598">
        <v>4</v>
      </c>
      <c r="L598">
        <v>9</v>
      </c>
      <c r="M598">
        <v>0</v>
      </c>
    </row>
    <row r="599" spans="1:13" x14ac:dyDescent="0.25">
      <c r="A599">
        <v>18</v>
      </c>
      <c r="B599" t="s">
        <v>34</v>
      </c>
      <c r="C599">
        <v>5.9</v>
      </c>
      <c r="D599" t="s">
        <v>35</v>
      </c>
      <c r="E599">
        <v>4.4000000000000004</v>
      </c>
      <c r="F599">
        <v>2.7</v>
      </c>
      <c r="G599">
        <v>2.09</v>
      </c>
      <c r="H599">
        <v>1.8</v>
      </c>
      <c r="I599" t="s">
        <v>39</v>
      </c>
      <c r="J599">
        <v>1</v>
      </c>
      <c r="K599">
        <v>6</v>
      </c>
      <c r="L599">
        <v>6</v>
      </c>
      <c r="M599">
        <v>0</v>
      </c>
    </row>
    <row r="600" spans="1:13" x14ac:dyDescent="0.25">
      <c r="A600">
        <v>19</v>
      </c>
      <c r="B600" t="s">
        <v>34</v>
      </c>
      <c r="C600">
        <v>2.7</v>
      </c>
      <c r="D600" t="s">
        <v>35</v>
      </c>
      <c r="E600">
        <v>6.3</v>
      </c>
      <c r="F600">
        <v>1.3</v>
      </c>
      <c r="G600">
        <v>3.91</v>
      </c>
      <c r="H600">
        <v>1.2</v>
      </c>
      <c r="I600" t="s">
        <v>39</v>
      </c>
      <c r="J600">
        <v>7</v>
      </c>
      <c r="K600">
        <v>5</v>
      </c>
      <c r="L600">
        <v>7</v>
      </c>
      <c r="M600">
        <v>0</v>
      </c>
    </row>
    <row r="601" spans="1:13" x14ac:dyDescent="0.25">
      <c r="A601">
        <v>16</v>
      </c>
      <c r="B601" t="s">
        <v>34</v>
      </c>
      <c r="C601">
        <v>7.9</v>
      </c>
      <c r="D601" t="s">
        <v>38</v>
      </c>
      <c r="E601">
        <v>8</v>
      </c>
      <c r="F601">
        <v>1.6</v>
      </c>
      <c r="G601">
        <v>3.47</v>
      </c>
      <c r="H601">
        <v>1.5</v>
      </c>
      <c r="I601" t="s">
        <v>39</v>
      </c>
      <c r="J601">
        <v>3</v>
      </c>
      <c r="K601">
        <v>5</v>
      </c>
      <c r="L601">
        <v>6</v>
      </c>
      <c r="M601">
        <v>0</v>
      </c>
    </row>
    <row r="602" spans="1:13" x14ac:dyDescent="0.25">
      <c r="A602">
        <v>16</v>
      </c>
      <c r="B602" t="s">
        <v>37</v>
      </c>
      <c r="C602">
        <v>7.4</v>
      </c>
      <c r="D602" t="s">
        <v>38</v>
      </c>
      <c r="E602">
        <v>5.5</v>
      </c>
      <c r="F602">
        <v>1.8</v>
      </c>
      <c r="G602">
        <v>2.13</v>
      </c>
      <c r="H602">
        <v>0.3</v>
      </c>
      <c r="I602" t="s">
        <v>39</v>
      </c>
      <c r="J602">
        <v>7</v>
      </c>
      <c r="K602">
        <v>9</v>
      </c>
      <c r="L602">
        <v>9</v>
      </c>
      <c r="M602">
        <v>1</v>
      </c>
    </row>
    <row r="603" spans="1:13" x14ac:dyDescent="0.25">
      <c r="A603">
        <v>17</v>
      </c>
      <c r="B603" t="s">
        <v>37</v>
      </c>
      <c r="C603">
        <v>2.2999999999999998</v>
      </c>
      <c r="D603" t="s">
        <v>35</v>
      </c>
      <c r="E603">
        <v>4.9000000000000004</v>
      </c>
      <c r="F603">
        <v>1.7</v>
      </c>
      <c r="G603">
        <v>2.0699999999999998</v>
      </c>
      <c r="H603">
        <v>0.3</v>
      </c>
      <c r="I603" t="s">
        <v>40</v>
      </c>
      <c r="J603">
        <v>3</v>
      </c>
      <c r="K603">
        <v>7</v>
      </c>
      <c r="L603">
        <v>7</v>
      </c>
      <c r="M603">
        <v>0</v>
      </c>
    </row>
    <row r="604" spans="1:13" x14ac:dyDescent="0.25">
      <c r="A604">
        <v>13</v>
      </c>
      <c r="B604" t="s">
        <v>34</v>
      </c>
      <c r="C604">
        <v>7.1</v>
      </c>
      <c r="D604" t="s">
        <v>41</v>
      </c>
      <c r="E604">
        <v>5.7</v>
      </c>
      <c r="F604">
        <v>2.1</v>
      </c>
      <c r="G604">
        <v>3.52</v>
      </c>
      <c r="H604">
        <v>1.7</v>
      </c>
      <c r="I604" t="s">
        <v>36</v>
      </c>
      <c r="J604">
        <v>1</v>
      </c>
      <c r="K604">
        <v>1</v>
      </c>
      <c r="L604">
        <v>3</v>
      </c>
      <c r="M604">
        <v>0</v>
      </c>
    </row>
    <row r="605" spans="1:13" x14ac:dyDescent="0.25">
      <c r="A605">
        <v>16</v>
      </c>
      <c r="B605" t="s">
        <v>34</v>
      </c>
      <c r="C605">
        <v>6.9</v>
      </c>
      <c r="D605" t="s">
        <v>35</v>
      </c>
      <c r="E605">
        <v>6.8</v>
      </c>
      <c r="F605">
        <v>1.1000000000000001</v>
      </c>
      <c r="G605">
        <v>3.33</v>
      </c>
      <c r="H605">
        <v>1</v>
      </c>
      <c r="I605" t="s">
        <v>40</v>
      </c>
      <c r="J605">
        <v>7</v>
      </c>
      <c r="K605">
        <v>9</v>
      </c>
      <c r="L605">
        <v>4</v>
      </c>
      <c r="M605">
        <v>0</v>
      </c>
    </row>
    <row r="606" spans="1:13" x14ac:dyDescent="0.25">
      <c r="A606">
        <v>16</v>
      </c>
      <c r="B606" t="s">
        <v>37</v>
      </c>
      <c r="C606">
        <v>5.6</v>
      </c>
      <c r="D606" t="s">
        <v>38</v>
      </c>
      <c r="E606">
        <v>7.9</v>
      </c>
      <c r="F606">
        <v>2</v>
      </c>
      <c r="G606">
        <v>3.91</v>
      </c>
      <c r="H606">
        <v>0.6</v>
      </c>
      <c r="I606" t="s">
        <v>40</v>
      </c>
      <c r="J606">
        <v>7</v>
      </c>
      <c r="K606">
        <v>3</v>
      </c>
      <c r="L606">
        <v>10</v>
      </c>
      <c r="M606">
        <v>0</v>
      </c>
    </row>
    <row r="607" spans="1:13" x14ac:dyDescent="0.25">
      <c r="A607">
        <v>16</v>
      </c>
      <c r="B607" t="s">
        <v>37</v>
      </c>
      <c r="C607">
        <v>5.2</v>
      </c>
      <c r="D607" t="s">
        <v>38</v>
      </c>
      <c r="E607">
        <v>8.1</v>
      </c>
      <c r="F607">
        <v>2.1</v>
      </c>
      <c r="G607">
        <v>2.67</v>
      </c>
      <c r="H607">
        <v>1.7</v>
      </c>
      <c r="I607" t="s">
        <v>40</v>
      </c>
      <c r="J607">
        <v>9</v>
      </c>
      <c r="K607">
        <v>10</v>
      </c>
      <c r="L607">
        <v>10</v>
      </c>
      <c r="M607">
        <v>0</v>
      </c>
    </row>
    <row r="608" spans="1:13" x14ac:dyDescent="0.25">
      <c r="A608">
        <v>17</v>
      </c>
      <c r="B608" t="s">
        <v>34</v>
      </c>
      <c r="C608">
        <v>4.5</v>
      </c>
      <c r="D608" t="s">
        <v>41</v>
      </c>
      <c r="E608">
        <v>4.9000000000000004</v>
      </c>
      <c r="F608">
        <v>0.5</v>
      </c>
      <c r="G608">
        <v>3.44</v>
      </c>
      <c r="H608">
        <v>1.2</v>
      </c>
      <c r="I608" t="s">
        <v>40</v>
      </c>
      <c r="J608">
        <v>5</v>
      </c>
      <c r="K608">
        <v>3</v>
      </c>
      <c r="L608">
        <v>1</v>
      </c>
      <c r="M608">
        <v>0</v>
      </c>
    </row>
    <row r="609" spans="1:13" x14ac:dyDescent="0.25">
      <c r="A609">
        <v>14</v>
      </c>
      <c r="B609" t="s">
        <v>34</v>
      </c>
      <c r="C609">
        <v>3.6</v>
      </c>
      <c r="D609" t="s">
        <v>38</v>
      </c>
      <c r="E609">
        <v>4</v>
      </c>
      <c r="F609">
        <v>1.4</v>
      </c>
      <c r="G609">
        <v>3.83</v>
      </c>
      <c r="H609">
        <v>0.5</v>
      </c>
      <c r="I609" t="s">
        <v>40</v>
      </c>
      <c r="J609">
        <v>1</v>
      </c>
      <c r="K609">
        <v>5</v>
      </c>
      <c r="L609">
        <v>2</v>
      </c>
      <c r="M609">
        <v>0</v>
      </c>
    </row>
    <row r="610" spans="1:13" x14ac:dyDescent="0.25">
      <c r="A610">
        <v>19</v>
      </c>
      <c r="B610" t="s">
        <v>34</v>
      </c>
      <c r="C610">
        <v>7.2</v>
      </c>
      <c r="D610" t="s">
        <v>35</v>
      </c>
      <c r="E610">
        <v>5</v>
      </c>
      <c r="F610">
        <v>2.2000000000000002</v>
      </c>
      <c r="G610">
        <v>2.5</v>
      </c>
      <c r="H610">
        <v>0.7</v>
      </c>
      <c r="I610" t="s">
        <v>39</v>
      </c>
      <c r="J610">
        <v>6</v>
      </c>
      <c r="K610">
        <v>9</v>
      </c>
      <c r="L610">
        <v>2</v>
      </c>
      <c r="M610">
        <v>0</v>
      </c>
    </row>
    <row r="611" spans="1:13" x14ac:dyDescent="0.25">
      <c r="A611">
        <v>17</v>
      </c>
      <c r="B611" t="s">
        <v>34</v>
      </c>
      <c r="C611">
        <v>6.4</v>
      </c>
      <c r="D611" t="s">
        <v>38</v>
      </c>
      <c r="E611">
        <v>8.6</v>
      </c>
      <c r="F611">
        <v>2.2999999999999998</v>
      </c>
      <c r="G611">
        <v>2.57</v>
      </c>
      <c r="H611">
        <v>1.3</v>
      </c>
      <c r="I611" t="s">
        <v>36</v>
      </c>
      <c r="J611">
        <v>9</v>
      </c>
      <c r="K611">
        <v>10</v>
      </c>
      <c r="L611">
        <v>5</v>
      </c>
      <c r="M611">
        <v>0</v>
      </c>
    </row>
    <row r="612" spans="1:13" x14ac:dyDescent="0.25">
      <c r="A612">
        <v>15</v>
      </c>
      <c r="B612" t="s">
        <v>34</v>
      </c>
      <c r="C612">
        <v>7.1</v>
      </c>
      <c r="D612" t="s">
        <v>41</v>
      </c>
      <c r="E612">
        <v>6.5</v>
      </c>
      <c r="F612">
        <v>0.7</v>
      </c>
      <c r="G612">
        <v>3.94</v>
      </c>
      <c r="H612">
        <v>0.2</v>
      </c>
      <c r="I612" t="s">
        <v>40</v>
      </c>
      <c r="J612">
        <v>4</v>
      </c>
      <c r="K612">
        <v>7</v>
      </c>
      <c r="L612">
        <v>1</v>
      </c>
      <c r="M612">
        <v>0</v>
      </c>
    </row>
    <row r="613" spans="1:13" x14ac:dyDescent="0.25">
      <c r="A613">
        <v>18</v>
      </c>
      <c r="B613" t="s">
        <v>34</v>
      </c>
      <c r="C613">
        <v>1.2</v>
      </c>
      <c r="D613" t="s">
        <v>41</v>
      </c>
      <c r="E613">
        <v>4.0999999999999996</v>
      </c>
      <c r="F613">
        <v>1.1000000000000001</v>
      </c>
      <c r="G613">
        <v>3.04</v>
      </c>
      <c r="H613">
        <v>1.6</v>
      </c>
      <c r="I613" t="s">
        <v>36</v>
      </c>
      <c r="J613">
        <v>1</v>
      </c>
      <c r="K613">
        <v>3</v>
      </c>
      <c r="L613">
        <v>6</v>
      </c>
      <c r="M613">
        <v>0</v>
      </c>
    </row>
    <row r="614" spans="1:13" x14ac:dyDescent="0.25">
      <c r="A614">
        <v>19</v>
      </c>
      <c r="B614" t="s">
        <v>34</v>
      </c>
      <c r="C614">
        <v>6.6</v>
      </c>
      <c r="D614" t="s">
        <v>38</v>
      </c>
      <c r="E614">
        <v>8.8000000000000007</v>
      </c>
      <c r="F614">
        <v>0.9</v>
      </c>
      <c r="G614">
        <v>3.84</v>
      </c>
      <c r="H614">
        <v>0.3</v>
      </c>
      <c r="I614" t="s">
        <v>39</v>
      </c>
      <c r="J614">
        <v>10</v>
      </c>
      <c r="K614">
        <v>10</v>
      </c>
      <c r="L614">
        <v>6</v>
      </c>
      <c r="M614">
        <v>0</v>
      </c>
    </row>
    <row r="615" spans="1:13" x14ac:dyDescent="0.25">
      <c r="A615">
        <v>19</v>
      </c>
      <c r="B615" t="s">
        <v>37</v>
      </c>
      <c r="C615">
        <v>6.5</v>
      </c>
      <c r="D615" t="s">
        <v>38</v>
      </c>
      <c r="E615">
        <v>6.4</v>
      </c>
      <c r="F615">
        <v>1.1000000000000001</v>
      </c>
      <c r="G615">
        <v>3.71</v>
      </c>
      <c r="H615">
        <v>1.2</v>
      </c>
      <c r="I615" t="s">
        <v>36</v>
      </c>
      <c r="J615">
        <v>8</v>
      </c>
      <c r="K615">
        <v>9</v>
      </c>
      <c r="L615">
        <v>8</v>
      </c>
      <c r="M615">
        <v>0</v>
      </c>
    </row>
    <row r="616" spans="1:13" x14ac:dyDescent="0.25">
      <c r="A616">
        <v>16</v>
      </c>
      <c r="B616" t="s">
        <v>34</v>
      </c>
      <c r="C616">
        <v>2</v>
      </c>
      <c r="D616" t="s">
        <v>38</v>
      </c>
      <c r="E616">
        <v>4.4000000000000004</v>
      </c>
      <c r="F616">
        <v>0.7</v>
      </c>
      <c r="G616">
        <v>2.68</v>
      </c>
      <c r="H616">
        <v>0.8</v>
      </c>
      <c r="I616" t="s">
        <v>40</v>
      </c>
      <c r="J616">
        <v>1</v>
      </c>
      <c r="K616">
        <v>4</v>
      </c>
      <c r="L616">
        <v>10</v>
      </c>
      <c r="M616">
        <v>0</v>
      </c>
    </row>
    <row r="617" spans="1:13" x14ac:dyDescent="0.25">
      <c r="A617">
        <v>13</v>
      </c>
      <c r="B617" t="s">
        <v>34</v>
      </c>
      <c r="C617">
        <v>2.5</v>
      </c>
      <c r="D617" t="s">
        <v>35</v>
      </c>
      <c r="E617">
        <v>5.3</v>
      </c>
      <c r="F617">
        <v>0.8</v>
      </c>
      <c r="G617">
        <v>3.12</v>
      </c>
      <c r="H617">
        <v>0.4</v>
      </c>
      <c r="I617" t="s">
        <v>39</v>
      </c>
      <c r="J617">
        <v>3</v>
      </c>
      <c r="K617">
        <v>5</v>
      </c>
      <c r="L617">
        <v>3</v>
      </c>
      <c r="M617">
        <v>0</v>
      </c>
    </row>
    <row r="618" spans="1:13" x14ac:dyDescent="0.25">
      <c r="A618">
        <v>19</v>
      </c>
      <c r="B618" t="s">
        <v>34</v>
      </c>
      <c r="C618">
        <v>2.1</v>
      </c>
      <c r="D618" t="s">
        <v>35</v>
      </c>
      <c r="E618">
        <v>8.8000000000000007</v>
      </c>
      <c r="F618">
        <v>2.2999999999999998</v>
      </c>
      <c r="G618">
        <v>2.2200000000000002</v>
      </c>
      <c r="H618">
        <v>1.2</v>
      </c>
      <c r="I618" t="s">
        <v>39</v>
      </c>
      <c r="J618">
        <v>5</v>
      </c>
      <c r="K618">
        <v>5</v>
      </c>
      <c r="L618">
        <v>3</v>
      </c>
      <c r="M618">
        <v>0</v>
      </c>
    </row>
    <row r="619" spans="1:13" x14ac:dyDescent="0.25">
      <c r="A619">
        <v>16</v>
      </c>
      <c r="B619" t="s">
        <v>37</v>
      </c>
      <c r="C619">
        <v>7.1</v>
      </c>
      <c r="D619" t="s">
        <v>38</v>
      </c>
      <c r="E619">
        <v>8.8000000000000007</v>
      </c>
      <c r="F619">
        <v>1.8</v>
      </c>
      <c r="G619">
        <v>3.99</v>
      </c>
      <c r="H619">
        <v>0.8</v>
      </c>
      <c r="I619" t="s">
        <v>36</v>
      </c>
      <c r="J619">
        <v>6</v>
      </c>
      <c r="K619">
        <v>10</v>
      </c>
      <c r="L619">
        <v>8</v>
      </c>
      <c r="M619">
        <v>0</v>
      </c>
    </row>
    <row r="620" spans="1:13" x14ac:dyDescent="0.25">
      <c r="A620">
        <v>19</v>
      </c>
      <c r="B620" t="s">
        <v>37</v>
      </c>
      <c r="C620">
        <v>6.8</v>
      </c>
      <c r="D620" t="s">
        <v>41</v>
      </c>
      <c r="E620">
        <v>4.4000000000000004</v>
      </c>
      <c r="F620">
        <v>2.1</v>
      </c>
      <c r="G620">
        <v>3.69</v>
      </c>
      <c r="H620">
        <v>0.4</v>
      </c>
      <c r="I620" t="s">
        <v>39</v>
      </c>
      <c r="J620">
        <v>3</v>
      </c>
      <c r="K620">
        <v>2</v>
      </c>
      <c r="L620">
        <v>8</v>
      </c>
      <c r="M620">
        <v>0</v>
      </c>
    </row>
    <row r="621" spans="1:13" x14ac:dyDescent="0.25">
      <c r="A621">
        <v>13</v>
      </c>
      <c r="B621" t="s">
        <v>34</v>
      </c>
      <c r="C621">
        <v>5.2</v>
      </c>
      <c r="D621" t="s">
        <v>41</v>
      </c>
      <c r="E621">
        <v>5.4</v>
      </c>
      <c r="F621">
        <v>0.8</v>
      </c>
      <c r="G621">
        <v>2.39</v>
      </c>
      <c r="H621">
        <v>2</v>
      </c>
      <c r="I621" t="s">
        <v>36</v>
      </c>
      <c r="J621">
        <v>8</v>
      </c>
      <c r="K621">
        <v>3</v>
      </c>
      <c r="L621">
        <v>10</v>
      </c>
      <c r="M621">
        <v>0</v>
      </c>
    </row>
    <row r="622" spans="1:13" x14ac:dyDescent="0.25">
      <c r="A622">
        <v>19</v>
      </c>
      <c r="B622" t="s">
        <v>34</v>
      </c>
      <c r="C622">
        <v>7</v>
      </c>
      <c r="D622" t="s">
        <v>38</v>
      </c>
      <c r="E622">
        <v>4.5</v>
      </c>
      <c r="F622">
        <v>2.2999999999999998</v>
      </c>
      <c r="G622">
        <v>3.26</v>
      </c>
      <c r="H622">
        <v>1.7</v>
      </c>
      <c r="I622" t="s">
        <v>39</v>
      </c>
      <c r="J622">
        <v>9</v>
      </c>
      <c r="K622">
        <v>10</v>
      </c>
      <c r="L622">
        <v>3</v>
      </c>
      <c r="M622">
        <v>1</v>
      </c>
    </row>
    <row r="623" spans="1:13" x14ac:dyDescent="0.25">
      <c r="A623">
        <v>19</v>
      </c>
      <c r="B623" t="s">
        <v>34</v>
      </c>
      <c r="C623">
        <v>6.8</v>
      </c>
      <c r="D623" t="s">
        <v>38</v>
      </c>
      <c r="E623">
        <v>8.4</v>
      </c>
      <c r="F623">
        <v>2</v>
      </c>
      <c r="G623">
        <v>2.6</v>
      </c>
      <c r="H623">
        <v>1.5</v>
      </c>
      <c r="I623" t="s">
        <v>36</v>
      </c>
      <c r="J623">
        <v>7</v>
      </c>
      <c r="K623">
        <v>2</v>
      </c>
      <c r="L623">
        <v>2</v>
      </c>
      <c r="M623">
        <v>0</v>
      </c>
    </row>
    <row r="624" spans="1:13" x14ac:dyDescent="0.25">
      <c r="A624">
        <v>16</v>
      </c>
      <c r="B624" t="s">
        <v>37</v>
      </c>
      <c r="C624">
        <v>3.8</v>
      </c>
      <c r="D624" t="s">
        <v>38</v>
      </c>
      <c r="E624">
        <v>5.3</v>
      </c>
      <c r="F624">
        <v>1.5</v>
      </c>
      <c r="G624">
        <v>2.04</v>
      </c>
      <c r="H624">
        <v>1.5</v>
      </c>
      <c r="I624" t="s">
        <v>39</v>
      </c>
      <c r="J624">
        <v>5</v>
      </c>
      <c r="K624">
        <v>10</v>
      </c>
      <c r="L624">
        <v>5</v>
      </c>
      <c r="M624">
        <v>0</v>
      </c>
    </row>
    <row r="625" spans="1:13" x14ac:dyDescent="0.25">
      <c r="A625">
        <v>14</v>
      </c>
      <c r="B625" t="s">
        <v>34</v>
      </c>
      <c r="C625">
        <v>2.9</v>
      </c>
      <c r="D625" t="s">
        <v>35</v>
      </c>
      <c r="E625">
        <v>7.2</v>
      </c>
      <c r="F625">
        <v>2</v>
      </c>
      <c r="G625">
        <v>3.96</v>
      </c>
      <c r="H625">
        <v>1.5</v>
      </c>
      <c r="I625" t="s">
        <v>40</v>
      </c>
      <c r="J625">
        <v>9</v>
      </c>
      <c r="K625">
        <v>10</v>
      </c>
      <c r="L625">
        <v>4</v>
      </c>
      <c r="M625">
        <v>0</v>
      </c>
    </row>
    <row r="626" spans="1:13" x14ac:dyDescent="0.25">
      <c r="A626">
        <v>16</v>
      </c>
      <c r="B626" t="s">
        <v>34</v>
      </c>
      <c r="C626">
        <v>3.6</v>
      </c>
      <c r="D626" t="s">
        <v>35</v>
      </c>
      <c r="E626">
        <v>6.6</v>
      </c>
      <c r="F626">
        <v>0.7</v>
      </c>
      <c r="G626">
        <v>2.25</v>
      </c>
      <c r="H626">
        <v>1.9</v>
      </c>
      <c r="I626" t="s">
        <v>36</v>
      </c>
      <c r="J626">
        <v>4</v>
      </c>
      <c r="K626">
        <v>1</v>
      </c>
      <c r="L626">
        <v>8</v>
      </c>
      <c r="M626">
        <v>0</v>
      </c>
    </row>
    <row r="627" spans="1:13" x14ac:dyDescent="0.25">
      <c r="A627">
        <v>13</v>
      </c>
      <c r="B627" t="s">
        <v>34</v>
      </c>
      <c r="C627">
        <v>4</v>
      </c>
      <c r="D627" t="s">
        <v>41</v>
      </c>
      <c r="E627">
        <v>8.3000000000000007</v>
      </c>
      <c r="F627">
        <v>0.6</v>
      </c>
      <c r="G627">
        <v>3.71</v>
      </c>
      <c r="H627">
        <v>0.1</v>
      </c>
      <c r="I627" t="s">
        <v>36</v>
      </c>
      <c r="J627">
        <v>2</v>
      </c>
      <c r="K627">
        <v>6</v>
      </c>
      <c r="L627">
        <v>1</v>
      </c>
      <c r="M627">
        <v>0</v>
      </c>
    </row>
    <row r="628" spans="1:13" x14ac:dyDescent="0.25">
      <c r="A628">
        <v>17</v>
      </c>
      <c r="B628" t="s">
        <v>37</v>
      </c>
      <c r="C628">
        <v>7.5</v>
      </c>
      <c r="D628" t="s">
        <v>41</v>
      </c>
      <c r="E628">
        <v>4.7</v>
      </c>
      <c r="F628">
        <v>2.1</v>
      </c>
      <c r="G628">
        <v>2.5499999999999998</v>
      </c>
      <c r="H628">
        <v>0.1</v>
      </c>
      <c r="I628" t="s">
        <v>39</v>
      </c>
      <c r="J628">
        <v>3</v>
      </c>
      <c r="K628">
        <v>9</v>
      </c>
      <c r="L628">
        <v>1</v>
      </c>
      <c r="M628">
        <v>0</v>
      </c>
    </row>
    <row r="629" spans="1:13" x14ac:dyDescent="0.25">
      <c r="A629">
        <v>16</v>
      </c>
      <c r="B629" t="s">
        <v>37</v>
      </c>
      <c r="C629">
        <v>6</v>
      </c>
      <c r="D629" t="s">
        <v>41</v>
      </c>
      <c r="E629">
        <v>8.6999999999999993</v>
      </c>
      <c r="F629">
        <v>1.5</v>
      </c>
      <c r="G629">
        <v>3.76</v>
      </c>
      <c r="H629">
        <v>0.1</v>
      </c>
      <c r="I629" t="s">
        <v>40</v>
      </c>
      <c r="J629">
        <v>2</v>
      </c>
      <c r="K629">
        <v>5</v>
      </c>
      <c r="L629">
        <v>4</v>
      </c>
      <c r="M629">
        <v>0</v>
      </c>
    </row>
    <row r="630" spans="1:13" x14ac:dyDescent="0.25">
      <c r="A630">
        <v>16</v>
      </c>
      <c r="B630" t="s">
        <v>37</v>
      </c>
      <c r="C630">
        <v>3.6</v>
      </c>
      <c r="D630" t="s">
        <v>35</v>
      </c>
      <c r="E630">
        <v>6.1</v>
      </c>
      <c r="F630">
        <v>2.8</v>
      </c>
      <c r="G630">
        <v>3.8</v>
      </c>
      <c r="H630">
        <v>0.1</v>
      </c>
      <c r="I630" t="s">
        <v>39</v>
      </c>
      <c r="J630">
        <v>2</v>
      </c>
      <c r="K630">
        <v>1</v>
      </c>
      <c r="L630">
        <v>7</v>
      </c>
      <c r="M630">
        <v>0</v>
      </c>
    </row>
    <row r="631" spans="1:13" x14ac:dyDescent="0.25">
      <c r="A631">
        <v>19</v>
      </c>
      <c r="B631" t="s">
        <v>34</v>
      </c>
      <c r="C631">
        <v>4.7</v>
      </c>
      <c r="D631" t="s">
        <v>41</v>
      </c>
      <c r="E631">
        <v>8.1999999999999993</v>
      </c>
      <c r="F631">
        <v>1.2</v>
      </c>
      <c r="G631">
        <v>2.83</v>
      </c>
      <c r="H631">
        <v>1.2</v>
      </c>
      <c r="I631" t="s">
        <v>39</v>
      </c>
      <c r="J631">
        <v>5</v>
      </c>
      <c r="K631">
        <v>9</v>
      </c>
      <c r="L631">
        <v>9</v>
      </c>
      <c r="M631">
        <v>0</v>
      </c>
    </row>
    <row r="632" spans="1:13" x14ac:dyDescent="0.25">
      <c r="A632">
        <v>13</v>
      </c>
      <c r="B632" t="s">
        <v>34</v>
      </c>
      <c r="C632">
        <v>2</v>
      </c>
      <c r="D632" t="s">
        <v>35</v>
      </c>
      <c r="E632">
        <v>6.6</v>
      </c>
      <c r="F632">
        <v>0.9</v>
      </c>
      <c r="G632">
        <v>3.34</v>
      </c>
      <c r="H632">
        <v>1.5</v>
      </c>
      <c r="I632" t="s">
        <v>39</v>
      </c>
      <c r="J632">
        <v>5</v>
      </c>
      <c r="K632">
        <v>9</v>
      </c>
      <c r="L632">
        <v>4</v>
      </c>
      <c r="M632">
        <v>0</v>
      </c>
    </row>
    <row r="633" spans="1:13" x14ac:dyDescent="0.25">
      <c r="A633">
        <v>13</v>
      </c>
      <c r="B633" t="s">
        <v>34</v>
      </c>
      <c r="C633">
        <v>7.8</v>
      </c>
      <c r="D633" t="s">
        <v>38</v>
      </c>
      <c r="E633">
        <v>7.2</v>
      </c>
      <c r="F633">
        <v>1.3</v>
      </c>
      <c r="G633">
        <v>3.31</v>
      </c>
      <c r="H633">
        <v>0.8</v>
      </c>
      <c r="I633" t="s">
        <v>39</v>
      </c>
      <c r="J633">
        <v>9</v>
      </c>
      <c r="K633">
        <v>2</v>
      </c>
      <c r="L633">
        <v>4</v>
      </c>
      <c r="M633">
        <v>0</v>
      </c>
    </row>
    <row r="634" spans="1:13" x14ac:dyDescent="0.25">
      <c r="A634">
        <v>19</v>
      </c>
      <c r="B634" t="s">
        <v>34</v>
      </c>
      <c r="C634">
        <v>5.9</v>
      </c>
      <c r="D634" t="s">
        <v>38</v>
      </c>
      <c r="E634">
        <v>7.4</v>
      </c>
      <c r="F634">
        <v>0.7</v>
      </c>
      <c r="G634">
        <v>3.27</v>
      </c>
      <c r="H634">
        <v>1.7</v>
      </c>
      <c r="I634" t="s">
        <v>39</v>
      </c>
      <c r="J634">
        <v>1</v>
      </c>
      <c r="K634">
        <v>9</v>
      </c>
      <c r="L634">
        <v>9</v>
      </c>
      <c r="M634">
        <v>0</v>
      </c>
    </row>
    <row r="635" spans="1:13" x14ac:dyDescent="0.25">
      <c r="A635">
        <v>19</v>
      </c>
      <c r="B635" t="s">
        <v>34</v>
      </c>
      <c r="C635">
        <v>7.7</v>
      </c>
      <c r="D635" t="s">
        <v>38</v>
      </c>
      <c r="E635">
        <v>8.4</v>
      </c>
      <c r="F635">
        <v>2.8</v>
      </c>
      <c r="G635">
        <v>3.43</v>
      </c>
      <c r="H635">
        <v>0.2</v>
      </c>
      <c r="I635" t="s">
        <v>40</v>
      </c>
      <c r="J635">
        <v>7</v>
      </c>
      <c r="K635">
        <v>6</v>
      </c>
      <c r="L635">
        <v>6</v>
      </c>
      <c r="M635">
        <v>0</v>
      </c>
    </row>
    <row r="636" spans="1:13" x14ac:dyDescent="0.25">
      <c r="A636">
        <v>13</v>
      </c>
      <c r="B636" t="s">
        <v>34</v>
      </c>
      <c r="C636">
        <v>2.2000000000000002</v>
      </c>
      <c r="D636" t="s">
        <v>38</v>
      </c>
      <c r="E636">
        <v>5.4</v>
      </c>
      <c r="F636">
        <v>1.2</v>
      </c>
      <c r="G636">
        <v>2.33</v>
      </c>
      <c r="H636">
        <v>0.8</v>
      </c>
      <c r="I636" t="s">
        <v>40</v>
      </c>
      <c r="J636">
        <v>10</v>
      </c>
      <c r="K636">
        <v>3</v>
      </c>
      <c r="L636">
        <v>4</v>
      </c>
      <c r="M636">
        <v>0</v>
      </c>
    </row>
    <row r="637" spans="1:13" x14ac:dyDescent="0.25">
      <c r="A637">
        <v>18</v>
      </c>
      <c r="B637" t="s">
        <v>37</v>
      </c>
      <c r="C637">
        <v>7.7</v>
      </c>
      <c r="D637" t="s">
        <v>38</v>
      </c>
      <c r="E637">
        <v>7.6</v>
      </c>
      <c r="F637">
        <v>2.9</v>
      </c>
      <c r="G637">
        <v>3.81</v>
      </c>
      <c r="H637">
        <v>0.5</v>
      </c>
      <c r="I637" t="s">
        <v>39</v>
      </c>
      <c r="J637">
        <v>10</v>
      </c>
      <c r="K637">
        <v>3</v>
      </c>
      <c r="L637">
        <v>6</v>
      </c>
      <c r="M637">
        <v>0</v>
      </c>
    </row>
    <row r="638" spans="1:13" x14ac:dyDescent="0.25">
      <c r="A638">
        <v>18</v>
      </c>
      <c r="B638" t="s">
        <v>34</v>
      </c>
      <c r="C638">
        <v>3.2</v>
      </c>
      <c r="D638" t="s">
        <v>35</v>
      </c>
      <c r="E638">
        <v>6</v>
      </c>
      <c r="F638">
        <v>1.5</v>
      </c>
      <c r="G638">
        <v>3.36</v>
      </c>
      <c r="H638">
        <v>1.5</v>
      </c>
      <c r="I638" t="s">
        <v>39</v>
      </c>
      <c r="J638">
        <v>9</v>
      </c>
      <c r="K638">
        <v>7</v>
      </c>
      <c r="L638">
        <v>10</v>
      </c>
      <c r="M638">
        <v>0</v>
      </c>
    </row>
    <row r="639" spans="1:13" x14ac:dyDescent="0.25">
      <c r="A639">
        <v>16</v>
      </c>
      <c r="B639" t="s">
        <v>34</v>
      </c>
      <c r="C639">
        <v>2</v>
      </c>
      <c r="D639" t="s">
        <v>38</v>
      </c>
      <c r="E639">
        <v>7.8</v>
      </c>
      <c r="F639">
        <v>0.5</v>
      </c>
      <c r="G639">
        <v>2.81</v>
      </c>
      <c r="H639">
        <v>1.4</v>
      </c>
      <c r="I639" t="s">
        <v>39</v>
      </c>
      <c r="J639">
        <v>10</v>
      </c>
      <c r="K639">
        <v>2</v>
      </c>
      <c r="L639">
        <v>4</v>
      </c>
      <c r="M639">
        <v>0</v>
      </c>
    </row>
    <row r="640" spans="1:13" x14ac:dyDescent="0.25">
      <c r="A640">
        <v>15</v>
      </c>
      <c r="B640" t="s">
        <v>37</v>
      </c>
      <c r="C640">
        <v>6.2</v>
      </c>
      <c r="D640" t="s">
        <v>41</v>
      </c>
      <c r="E640">
        <v>5.2</v>
      </c>
      <c r="F640">
        <v>1</v>
      </c>
      <c r="G640">
        <v>3.94</v>
      </c>
      <c r="H640">
        <v>1.4</v>
      </c>
      <c r="I640" t="s">
        <v>36</v>
      </c>
      <c r="J640">
        <v>5</v>
      </c>
      <c r="K640">
        <v>2</v>
      </c>
      <c r="L640">
        <v>7</v>
      </c>
      <c r="M640">
        <v>0</v>
      </c>
    </row>
    <row r="641" spans="1:13" x14ac:dyDescent="0.25">
      <c r="A641">
        <v>19</v>
      </c>
      <c r="B641" t="s">
        <v>37</v>
      </c>
      <c r="C641">
        <v>2.4</v>
      </c>
      <c r="D641" t="s">
        <v>35</v>
      </c>
      <c r="E641">
        <v>8.6999999999999993</v>
      </c>
      <c r="F641">
        <v>1.6</v>
      </c>
      <c r="G641">
        <v>2.4</v>
      </c>
      <c r="H641">
        <v>0.1</v>
      </c>
      <c r="I641" t="s">
        <v>40</v>
      </c>
      <c r="J641">
        <v>2</v>
      </c>
      <c r="K641">
        <v>9</v>
      </c>
      <c r="L641">
        <v>7</v>
      </c>
      <c r="M641">
        <v>0</v>
      </c>
    </row>
    <row r="642" spans="1:13" x14ac:dyDescent="0.25">
      <c r="A642">
        <v>15</v>
      </c>
      <c r="B642" t="s">
        <v>34</v>
      </c>
      <c r="C642">
        <v>3.4</v>
      </c>
      <c r="D642" t="s">
        <v>41</v>
      </c>
      <c r="E642">
        <v>8</v>
      </c>
      <c r="F642">
        <v>1</v>
      </c>
      <c r="G642">
        <v>2.31</v>
      </c>
      <c r="H642">
        <v>1</v>
      </c>
      <c r="I642" t="s">
        <v>39</v>
      </c>
      <c r="J642">
        <v>4</v>
      </c>
      <c r="K642">
        <v>7</v>
      </c>
      <c r="L642">
        <v>6</v>
      </c>
      <c r="M642">
        <v>0</v>
      </c>
    </row>
    <row r="643" spans="1:13" x14ac:dyDescent="0.25">
      <c r="A643">
        <v>19</v>
      </c>
      <c r="B643" t="s">
        <v>34</v>
      </c>
      <c r="C643">
        <v>6</v>
      </c>
      <c r="D643" t="s">
        <v>35</v>
      </c>
      <c r="E643">
        <v>4.2</v>
      </c>
      <c r="F643">
        <v>0.9</v>
      </c>
      <c r="G643">
        <v>2.41</v>
      </c>
      <c r="H643">
        <v>0.8</v>
      </c>
      <c r="I643" t="s">
        <v>40</v>
      </c>
      <c r="J643">
        <v>7</v>
      </c>
      <c r="K643">
        <v>9</v>
      </c>
      <c r="L643">
        <v>9</v>
      </c>
      <c r="M643">
        <v>1</v>
      </c>
    </row>
    <row r="644" spans="1:13" x14ac:dyDescent="0.25">
      <c r="A644">
        <v>16</v>
      </c>
      <c r="B644" t="s">
        <v>37</v>
      </c>
      <c r="C644">
        <v>5.3</v>
      </c>
      <c r="D644" t="s">
        <v>41</v>
      </c>
      <c r="E644">
        <v>5.6</v>
      </c>
      <c r="F644">
        <v>2.5</v>
      </c>
      <c r="G644">
        <v>2.73</v>
      </c>
      <c r="H644">
        <v>1.3</v>
      </c>
      <c r="I644" t="s">
        <v>40</v>
      </c>
      <c r="J644">
        <v>7</v>
      </c>
      <c r="K644">
        <v>10</v>
      </c>
      <c r="L644">
        <v>4</v>
      </c>
      <c r="M644">
        <v>1</v>
      </c>
    </row>
    <row r="645" spans="1:13" x14ac:dyDescent="0.25">
      <c r="A645">
        <v>17</v>
      </c>
      <c r="B645" t="s">
        <v>37</v>
      </c>
      <c r="C645">
        <v>5.5</v>
      </c>
      <c r="D645" t="s">
        <v>35</v>
      </c>
      <c r="E645">
        <v>6.3</v>
      </c>
      <c r="F645">
        <v>0.8</v>
      </c>
      <c r="G645">
        <v>2.59</v>
      </c>
      <c r="H645">
        <v>1.6</v>
      </c>
      <c r="I645" t="s">
        <v>39</v>
      </c>
      <c r="J645">
        <v>6</v>
      </c>
      <c r="K645">
        <v>8</v>
      </c>
      <c r="L645">
        <v>7</v>
      </c>
      <c r="M645">
        <v>0</v>
      </c>
    </row>
    <row r="646" spans="1:13" x14ac:dyDescent="0.25">
      <c r="A646">
        <v>17</v>
      </c>
      <c r="B646" t="s">
        <v>34</v>
      </c>
      <c r="C646">
        <v>3.6</v>
      </c>
      <c r="D646" t="s">
        <v>41</v>
      </c>
      <c r="E646">
        <v>6.1</v>
      </c>
      <c r="F646">
        <v>2.8</v>
      </c>
      <c r="G646">
        <v>2.39</v>
      </c>
      <c r="H646">
        <v>0.6</v>
      </c>
      <c r="I646" t="s">
        <v>36</v>
      </c>
      <c r="J646">
        <v>6</v>
      </c>
      <c r="K646">
        <v>8</v>
      </c>
      <c r="L646">
        <v>5</v>
      </c>
      <c r="M646">
        <v>0</v>
      </c>
    </row>
    <row r="647" spans="1:13" x14ac:dyDescent="0.25">
      <c r="A647">
        <v>17</v>
      </c>
      <c r="B647" t="s">
        <v>37</v>
      </c>
      <c r="C647">
        <v>3.7</v>
      </c>
      <c r="D647" t="s">
        <v>35</v>
      </c>
      <c r="E647">
        <v>6.3</v>
      </c>
      <c r="F647">
        <v>1.3</v>
      </c>
      <c r="G647">
        <v>2.7</v>
      </c>
      <c r="H647">
        <v>1.1000000000000001</v>
      </c>
      <c r="I647" t="s">
        <v>40</v>
      </c>
      <c r="J647">
        <v>2</v>
      </c>
      <c r="K647">
        <v>6</v>
      </c>
      <c r="L647">
        <v>9</v>
      </c>
      <c r="M647">
        <v>0</v>
      </c>
    </row>
    <row r="648" spans="1:13" x14ac:dyDescent="0.25">
      <c r="A648">
        <v>16</v>
      </c>
      <c r="B648" t="s">
        <v>37</v>
      </c>
      <c r="C648">
        <v>7.4</v>
      </c>
      <c r="D648" t="s">
        <v>35</v>
      </c>
      <c r="E648">
        <v>7.4</v>
      </c>
      <c r="F648">
        <v>0.9</v>
      </c>
      <c r="G648">
        <v>3.7</v>
      </c>
      <c r="H648">
        <v>1.3</v>
      </c>
      <c r="I648" t="s">
        <v>40</v>
      </c>
      <c r="J648">
        <v>10</v>
      </c>
      <c r="K648">
        <v>6</v>
      </c>
      <c r="L648">
        <v>2</v>
      </c>
      <c r="M648">
        <v>0</v>
      </c>
    </row>
    <row r="649" spans="1:13" x14ac:dyDescent="0.25">
      <c r="A649">
        <v>13</v>
      </c>
      <c r="B649" t="s">
        <v>34</v>
      </c>
      <c r="C649">
        <v>5.3</v>
      </c>
      <c r="D649" t="s">
        <v>35</v>
      </c>
      <c r="E649">
        <v>6</v>
      </c>
      <c r="F649">
        <v>1</v>
      </c>
      <c r="G649">
        <v>2.92</v>
      </c>
      <c r="H649">
        <v>0.7</v>
      </c>
      <c r="I649" t="s">
        <v>39</v>
      </c>
      <c r="J649">
        <v>3</v>
      </c>
      <c r="K649">
        <v>8</v>
      </c>
      <c r="L649">
        <v>5</v>
      </c>
      <c r="M649">
        <v>0</v>
      </c>
    </row>
    <row r="650" spans="1:13" x14ac:dyDescent="0.25">
      <c r="A650">
        <v>18</v>
      </c>
      <c r="B650" t="s">
        <v>37</v>
      </c>
      <c r="C650">
        <v>4.8</v>
      </c>
      <c r="D650" t="s">
        <v>35</v>
      </c>
      <c r="E650">
        <v>5.5</v>
      </c>
      <c r="F650">
        <v>1.8</v>
      </c>
      <c r="G650">
        <v>2.9</v>
      </c>
      <c r="H650">
        <v>0.6</v>
      </c>
      <c r="I650" t="s">
        <v>36</v>
      </c>
      <c r="J650">
        <v>6</v>
      </c>
      <c r="K650">
        <v>2</v>
      </c>
      <c r="L650">
        <v>5</v>
      </c>
      <c r="M650">
        <v>0</v>
      </c>
    </row>
    <row r="651" spans="1:13" x14ac:dyDescent="0.25">
      <c r="A651">
        <v>13</v>
      </c>
      <c r="B651" t="s">
        <v>34</v>
      </c>
      <c r="C651">
        <v>3.4</v>
      </c>
      <c r="D651" t="s">
        <v>38</v>
      </c>
      <c r="E651">
        <v>4.5</v>
      </c>
      <c r="F651">
        <v>0.5</v>
      </c>
      <c r="G651">
        <v>3.71</v>
      </c>
      <c r="H651">
        <v>1</v>
      </c>
      <c r="I651" t="s">
        <v>40</v>
      </c>
      <c r="J651">
        <v>1</v>
      </c>
      <c r="K651">
        <v>10</v>
      </c>
      <c r="L651">
        <v>1</v>
      </c>
      <c r="M651">
        <v>0</v>
      </c>
    </row>
    <row r="652" spans="1:13" x14ac:dyDescent="0.25">
      <c r="A652">
        <v>17</v>
      </c>
      <c r="B652" t="s">
        <v>37</v>
      </c>
      <c r="C652">
        <v>7</v>
      </c>
      <c r="D652" t="s">
        <v>38</v>
      </c>
      <c r="E652">
        <v>8.9</v>
      </c>
      <c r="F652">
        <v>0.6</v>
      </c>
      <c r="G652">
        <v>3.67</v>
      </c>
      <c r="H652">
        <v>0.2</v>
      </c>
      <c r="I652" t="s">
        <v>40</v>
      </c>
      <c r="J652">
        <v>9</v>
      </c>
      <c r="K652">
        <v>2</v>
      </c>
      <c r="L652">
        <v>4</v>
      </c>
      <c r="M652">
        <v>0</v>
      </c>
    </row>
    <row r="653" spans="1:13" x14ac:dyDescent="0.25">
      <c r="A653">
        <v>15</v>
      </c>
      <c r="B653" t="s">
        <v>34</v>
      </c>
      <c r="C653">
        <v>5.4</v>
      </c>
      <c r="D653" t="s">
        <v>35</v>
      </c>
      <c r="E653">
        <v>7.2</v>
      </c>
      <c r="F653">
        <v>1.2</v>
      </c>
      <c r="G653">
        <v>3.32</v>
      </c>
      <c r="H653">
        <v>1.3</v>
      </c>
      <c r="I653" t="s">
        <v>39</v>
      </c>
      <c r="J653">
        <v>7</v>
      </c>
      <c r="K653">
        <v>8</v>
      </c>
      <c r="L653">
        <v>1</v>
      </c>
      <c r="M653">
        <v>0</v>
      </c>
    </row>
    <row r="654" spans="1:13" x14ac:dyDescent="0.25">
      <c r="A654">
        <v>17</v>
      </c>
      <c r="B654" t="s">
        <v>34</v>
      </c>
      <c r="C654">
        <v>5.3</v>
      </c>
      <c r="D654" t="s">
        <v>35</v>
      </c>
      <c r="E654">
        <v>6.4</v>
      </c>
      <c r="F654">
        <v>2.9</v>
      </c>
      <c r="G654">
        <v>2.42</v>
      </c>
      <c r="H654">
        <v>1.1000000000000001</v>
      </c>
      <c r="I654" t="s">
        <v>36</v>
      </c>
      <c r="J654">
        <v>3</v>
      </c>
      <c r="K654">
        <v>8</v>
      </c>
      <c r="L654">
        <v>3</v>
      </c>
      <c r="M654">
        <v>0</v>
      </c>
    </row>
    <row r="655" spans="1:13" x14ac:dyDescent="0.25">
      <c r="A655">
        <v>14</v>
      </c>
      <c r="B655" t="s">
        <v>34</v>
      </c>
      <c r="C655">
        <v>1.8</v>
      </c>
      <c r="D655" t="s">
        <v>41</v>
      </c>
      <c r="E655">
        <v>5.0999999999999996</v>
      </c>
      <c r="F655">
        <v>2.7</v>
      </c>
      <c r="G655">
        <v>3.47</v>
      </c>
      <c r="H655">
        <v>0.2</v>
      </c>
      <c r="I655" t="s">
        <v>36</v>
      </c>
      <c r="J655">
        <v>8</v>
      </c>
      <c r="K655">
        <v>4</v>
      </c>
      <c r="L655">
        <v>6</v>
      </c>
      <c r="M655">
        <v>0</v>
      </c>
    </row>
    <row r="656" spans="1:13" x14ac:dyDescent="0.25">
      <c r="A656">
        <v>15</v>
      </c>
      <c r="B656" t="s">
        <v>34</v>
      </c>
      <c r="C656">
        <v>4.5</v>
      </c>
      <c r="D656" t="s">
        <v>38</v>
      </c>
      <c r="E656">
        <v>6.2</v>
      </c>
      <c r="F656">
        <v>2.8</v>
      </c>
      <c r="G656">
        <v>2.74</v>
      </c>
      <c r="H656">
        <v>0.1</v>
      </c>
      <c r="I656" t="s">
        <v>39</v>
      </c>
      <c r="J656">
        <v>2</v>
      </c>
      <c r="K656">
        <v>3</v>
      </c>
      <c r="L656">
        <v>5</v>
      </c>
      <c r="M656">
        <v>0</v>
      </c>
    </row>
    <row r="657" spans="1:13" x14ac:dyDescent="0.25">
      <c r="A657">
        <v>17</v>
      </c>
      <c r="B657" t="s">
        <v>37</v>
      </c>
      <c r="C657">
        <v>5.4</v>
      </c>
      <c r="D657" t="s">
        <v>38</v>
      </c>
      <c r="E657">
        <v>7.1</v>
      </c>
      <c r="F657">
        <v>2.5</v>
      </c>
      <c r="G657">
        <v>2.68</v>
      </c>
      <c r="H657">
        <v>1.6</v>
      </c>
      <c r="I657" t="s">
        <v>36</v>
      </c>
      <c r="J657">
        <v>3</v>
      </c>
      <c r="K657">
        <v>5</v>
      </c>
      <c r="L657">
        <v>7</v>
      </c>
      <c r="M657">
        <v>0</v>
      </c>
    </row>
    <row r="658" spans="1:13" x14ac:dyDescent="0.25">
      <c r="A658">
        <v>13</v>
      </c>
      <c r="B658" t="s">
        <v>34</v>
      </c>
      <c r="C658">
        <v>3.6</v>
      </c>
      <c r="D658" t="s">
        <v>35</v>
      </c>
      <c r="E658">
        <v>8.6</v>
      </c>
      <c r="F658">
        <v>0.7</v>
      </c>
      <c r="G658">
        <v>2.42</v>
      </c>
      <c r="H658">
        <v>0.2</v>
      </c>
      <c r="I658" t="s">
        <v>40</v>
      </c>
      <c r="J658">
        <v>2</v>
      </c>
      <c r="K658">
        <v>6</v>
      </c>
      <c r="L658">
        <v>8</v>
      </c>
      <c r="M658">
        <v>0</v>
      </c>
    </row>
    <row r="659" spans="1:13" x14ac:dyDescent="0.25">
      <c r="A659">
        <v>14</v>
      </c>
      <c r="B659" t="s">
        <v>37</v>
      </c>
      <c r="C659">
        <v>5.7</v>
      </c>
      <c r="D659" t="s">
        <v>35</v>
      </c>
      <c r="E659">
        <v>8.9</v>
      </c>
      <c r="F659">
        <v>0.7</v>
      </c>
      <c r="G659">
        <v>2.17</v>
      </c>
      <c r="H659">
        <v>1.3</v>
      </c>
      <c r="I659" t="s">
        <v>39</v>
      </c>
      <c r="J659">
        <v>10</v>
      </c>
      <c r="K659">
        <v>4</v>
      </c>
      <c r="L659">
        <v>3</v>
      </c>
      <c r="M659">
        <v>0</v>
      </c>
    </row>
    <row r="660" spans="1:13" x14ac:dyDescent="0.25">
      <c r="A660">
        <v>15</v>
      </c>
      <c r="B660" t="s">
        <v>37</v>
      </c>
      <c r="C660">
        <v>5.5</v>
      </c>
      <c r="D660" t="s">
        <v>41</v>
      </c>
      <c r="E660">
        <v>7.3</v>
      </c>
      <c r="F660">
        <v>2.5</v>
      </c>
      <c r="G660">
        <v>3.67</v>
      </c>
      <c r="H660">
        <v>0.5</v>
      </c>
      <c r="I660" t="s">
        <v>36</v>
      </c>
      <c r="J660">
        <v>4</v>
      </c>
      <c r="K660">
        <v>3</v>
      </c>
      <c r="L660">
        <v>6</v>
      </c>
      <c r="M660">
        <v>0</v>
      </c>
    </row>
    <row r="661" spans="1:13" x14ac:dyDescent="0.25">
      <c r="A661">
        <v>14</v>
      </c>
      <c r="B661" t="s">
        <v>37</v>
      </c>
      <c r="C661">
        <v>5.3</v>
      </c>
      <c r="D661" t="s">
        <v>41</v>
      </c>
      <c r="E661">
        <v>4.7</v>
      </c>
      <c r="F661">
        <v>1.1000000000000001</v>
      </c>
      <c r="G661">
        <v>3.68</v>
      </c>
      <c r="H661">
        <v>1.8</v>
      </c>
      <c r="I661" t="s">
        <v>39</v>
      </c>
      <c r="J661">
        <v>10</v>
      </c>
      <c r="K661">
        <v>8</v>
      </c>
      <c r="L661">
        <v>10</v>
      </c>
      <c r="M661">
        <v>1</v>
      </c>
    </row>
    <row r="662" spans="1:13" x14ac:dyDescent="0.25">
      <c r="A662">
        <v>15</v>
      </c>
      <c r="B662" t="s">
        <v>34</v>
      </c>
      <c r="C662">
        <v>2.7</v>
      </c>
      <c r="D662" t="s">
        <v>35</v>
      </c>
      <c r="E662">
        <v>5.4</v>
      </c>
      <c r="F662">
        <v>1.6</v>
      </c>
      <c r="G662">
        <v>2.34</v>
      </c>
      <c r="H662">
        <v>0.3</v>
      </c>
      <c r="I662" t="s">
        <v>39</v>
      </c>
      <c r="J662">
        <v>2</v>
      </c>
      <c r="K662">
        <v>6</v>
      </c>
      <c r="L662">
        <v>8</v>
      </c>
      <c r="M662">
        <v>0</v>
      </c>
    </row>
    <row r="663" spans="1:13" x14ac:dyDescent="0.25">
      <c r="A663">
        <v>14</v>
      </c>
      <c r="B663" t="s">
        <v>34</v>
      </c>
      <c r="C663">
        <v>6.4</v>
      </c>
      <c r="D663" t="s">
        <v>35</v>
      </c>
      <c r="E663">
        <v>5.6</v>
      </c>
      <c r="F663">
        <v>0.8</v>
      </c>
      <c r="G663">
        <v>4</v>
      </c>
      <c r="H663">
        <v>1.9</v>
      </c>
      <c r="I663" t="s">
        <v>40</v>
      </c>
      <c r="J663">
        <v>5</v>
      </c>
      <c r="K663">
        <v>1</v>
      </c>
      <c r="L663">
        <v>3</v>
      </c>
      <c r="M663">
        <v>0</v>
      </c>
    </row>
    <row r="664" spans="1:13" x14ac:dyDescent="0.25">
      <c r="A664">
        <v>16</v>
      </c>
      <c r="B664" t="s">
        <v>34</v>
      </c>
      <c r="C664">
        <v>5</v>
      </c>
      <c r="D664" t="s">
        <v>38</v>
      </c>
      <c r="E664">
        <v>6.3</v>
      </c>
      <c r="F664">
        <v>3</v>
      </c>
      <c r="G664">
        <v>3.72</v>
      </c>
      <c r="H664">
        <v>1.6</v>
      </c>
      <c r="I664" t="s">
        <v>40</v>
      </c>
      <c r="J664">
        <v>5</v>
      </c>
      <c r="K664">
        <v>10</v>
      </c>
      <c r="L664">
        <v>3</v>
      </c>
      <c r="M664">
        <v>0</v>
      </c>
    </row>
    <row r="665" spans="1:13" x14ac:dyDescent="0.25">
      <c r="A665">
        <v>13</v>
      </c>
      <c r="B665" t="s">
        <v>37</v>
      </c>
      <c r="C665">
        <v>2.5</v>
      </c>
      <c r="D665" t="s">
        <v>35</v>
      </c>
      <c r="E665">
        <v>4.5999999999999996</v>
      </c>
      <c r="F665">
        <v>1.6</v>
      </c>
      <c r="G665">
        <v>3.22</v>
      </c>
      <c r="H665">
        <v>0.9</v>
      </c>
      <c r="I665" t="s">
        <v>40</v>
      </c>
      <c r="J665">
        <v>6</v>
      </c>
      <c r="K665">
        <v>4</v>
      </c>
      <c r="L665">
        <v>3</v>
      </c>
      <c r="M665">
        <v>0</v>
      </c>
    </row>
    <row r="666" spans="1:13" x14ac:dyDescent="0.25">
      <c r="A666">
        <v>18</v>
      </c>
      <c r="B666" t="s">
        <v>34</v>
      </c>
      <c r="C666">
        <v>2.2000000000000002</v>
      </c>
      <c r="D666" t="s">
        <v>41</v>
      </c>
      <c r="E666">
        <v>4.5</v>
      </c>
      <c r="F666">
        <v>2</v>
      </c>
      <c r="G666">
        <v>2.4900000000000002</v>
      </c>
      <c r="H666">
        <v>0.8</v>
      </c>
      <c r="I666" t="s">
        <v>39</v>
      </c>
      <c r="J666">
        <v>1</v>
      </c>
      <c r="K666">
        <v>7</v>
      </c>
      <c r="L666">
        <v>6</v>
      </c>
      <c r="M666">
        <v>0</v>
      </c>
    </row>
    <row r="667" spans="1:13" x14ac:dyDescent="0.25">
      <c r="A667">
        <v>16</v>
      </c>
      <c r="B667" t="s">
        <v>34</v>
      </c>
      <c r="C667">
        <v>4.0999999999999996</v>
      </c>
      <c r="D667" t="s">
        <v>41</v>
      </c>
      <c r="E667">
        <v>5.5</v>
      </c>
      <c r="F667">
        <v>1.9</v>
      </c>
      <c r="G667">
        <v>2.65</v>
      </c>
      <c r="H667">
        <v>1.5</v>
      </c>
      <c r="I667" t="s">
        <v>36</v>
      </c>
      <c r="J667">
        <v>5</v>
      </c>
      <c r="K667">
        <v>7</v>
      </c>
      <c r="L667">
        <v>9</v>
      </c>
      <c r="M667">
        <v>0</v>
      </c>
    </row>
    <row r="668" spans="1:13" x14ac:dyDescent="0.25">
      <c r="A668">
        <v>16</v>
      </c>
      <c r="B668" t="s">
        <v>37</v>
      </c>
      <c r="C668">
        <v>2.8</v>
      </c>
      <c r="D668" t="s">
        <v>38</v>
      </c>
      <c r="E668">
        <v>7.4</v>
      </c>
      <c r="F668">
        <v>2</v>
      </c>
      <c r="G668">
        <v>3.4</v>
      </c>
      <c r="H668">
        <v>1.6</v>
      </c>
      <c r="I668" t="s">
        <v>36</v>
      </c>
      <c r="J668">
        <v>4</v>
      </c>
      <c r="K668">
        <v>1</v>
      </c>
      <c r="L668">
        <v>1</v>
      </c>
      <c r="M668">
        <v>0</v>
      </c>
    </row>
    <row r="669" spans="1:13" x14ac:dyDescent="0.25">
      <c r="A669">
        <v>17</v>
      </c>
      <c r="B669" t="s">
        <v>37</v>
      </c>
      <c r="C669">
        <v>1.1000000000000001</v>
      </c>
      <c r="D669" t="s">
        <v>38</v>
      </c>
      <c r="E669">
        <v>8.1999999999999993</v>
      </c>
      <c r="F669">
        <v>2.7</v>
      </c>
      <c r="G669">
        <v>2.84</v>
      </c>
      <c r="H669">
        <v>0.2</v>
      </c>
      <c r="I669" t="s">
        <v>39</v>
      </c>
      <c r="J669">
        <v>2</v>
      </c>
      <c r="K669">
        <v>4</v>
      </c>
      <c r="L669">
        <v>1</v>
      </c>
      <c r="M669">
        <v>0</v>
      </c>
    </row>
    <row r="670" spans="1:13" x14ac:dyDescent="0.25">
      <c r="A670">
        <v>13</v>
      </c>
      <c r="B670" t="s">
        <v>34</v>
      </c>
      <c r="C670">
        <v>7</v>
      </c>
      <c r="D670" t="s">
        <v>41</v>
      </c>
      <c r="E670">
        <v>5.7</v>
      </c>
      <c r="F670">
        <v>1.6</v>
      </c>
      <c r="G670">
        <v>3.45</v>
      </c>
      <c r="H670">
        <v>1.2</v>
      </c>
      <c r="I670" t="s">
        <v>40</v>
      </c>
      <c r="J670">
        <v>7</v>
      </c>
      <c r="K670">
        <v>1</v>
      </c>
      <c r="L670">
        <v>10</v>
      </c>
      <c r="M670">
        <v>0</v>
      </c>
    </row>
    <row r="671" spans="1:13" x14ac:dyDescent="0.25">
      <c r="A671">
        <v>18</v>
      </c>
      <c r="B671" t="s">
        <v>34</v>
      </c>
      <c r="C671">
        <v>2.6</v>
      </c>
      <c r="D671" t="s">
        <v>38</v>
      </c>
      <c r="E671">
        <v>7.9</v>
      </c>
      <c r="F671">
        <v>2.2999999999999998</v>
      </c>
      <c r="G671">
        <v>2.4300000000000002</v>
      </c>
      <c r="H671">
        <v>0.1</v>
      </c>
      <c r="I671" t="s">
        <v>39</v>
      </c>
      <c r="J671">
        <v>5</v>
      </c>
      <c r="K671">
        <v>1</v>
      </c>
      <c r="L671">
        <v>6</v>
      </c>
      <c r="M671">
        <v>0</v>
      </c>
    </row>
    <row r="672" spans="1:13" x14ac:dyDescent="0.25">
      <c r="A672">
        <v>13</v>
      </c>
      <c r="B672" t="s">
        <v>37</v>
      </c>
      <c r="C672">
        <v>2.6</v>
      </c>
      <c r="D672" t="s">
        <v>38</v>
      </c>
      <c r="E672">
        <v>6.1</v>
      </c>
      <c r="F672">
        <v>1.4</v>
      </c>
      <c r="G672">
        <v>2.11</v>
      </c>
      <c r="H672">
        <v>0.4</v>
      </c>
      <c r="I672" t="s">
        <v>39</v>
      </c>
      <c r="J672">
        <v>7</v>
      </c>
      <c r="K672">
        <v>5</v>
      </c>
      <c r="L672">
        <v>10</v>
      </c>
      <c r="M672">
        <v>0</v>
      </c>
    </row>
    <row r="673" spans="1:13" x14ac:dyDescent="0.25">
      <c r="A673">
        <v>14</v>
      </c>
      <c r="B673" t="s">
        <v>34</v>
      </c>
      <c r="C673">
        <v>3.4</v>
      </c>
      <c r="D673" t="s">
        <v>35</v>
      </c>
      <c r="E673">
        <v>4.5999999999999996</v>
      </c>
      <c r="F673">
        <v>2</v>
      </c>
      <c r="G673">
        <v>2.27</v>
      </c>
      <c r="H673">
        <v>1.9</v>
      </c>
      <c r="I673" t="s">
        <v>39</v>
      </c>
      <c r="J673">
        <v>7</v>
      </c>
      <c r="K673">
        <v>10</v>
      </c>
      <c r="L673">
        <v>6</v>
      </c>
      <c r="M673">
        <v>0</v>
      </c>
    </row>
    <row r="674" spans="1:13" x14ac:dyDescent="0.25">
      <c r="A674">
        <v>14</v>
      </c>
      <c r="B674" t="s">
        <v>34</v>
      </c>
      <c r="C674">
        <v>7.9</v>
      </c>
      <c r="D674" t="s">
        <v>35</v>
      </c>
      <c r="E674">
        <v>5.7</v>
      </c>
      <c r="F674">
        <v>1.6</v>
      </c>
      <c r="G674">
        <v>3.67</v>
      </c>
      <c r="H674">
        <v>0.6</v>
      </c>
      <c r="I674" t="s">
        <v>40</v>
      </c>
      <c r="J674">
        <v>4</v>
      </c>
      <c r="K674">
        <v>3</v>
      </c>
      <c r="L674">
        <v>4</v>
      </c>
      <c r="M674">
        <v>0</v>
      </c>
    </row>
    <row r="675" spans="1:13" x14ac:dyDescent="0.25">
      <c r="A675">
        <v>13</v>
      </c>
      <c r="B675" t="s">
        <v>34</v>
      </c>
      <c r="C675">
        <v>5.0999999999999996</v>
      </c>
      <c r="D675" t="s">
        <v>38</v>
      </c>
      <c r="E675">
        <v>5.3</v>
      </c>
      <c r="F675">
        <v>2.6</v>
      </c>
      <c r="G675">
        <v>2.95</v>
      </c>
      <c r="H675">
        <v>1.2</v>
      </c>
      <c r="I675" t="s">
        <v>40</v>
      </c>
      <c r="J675">
        <v>2</v>
      </c>
      <c r="K675">
        <v>6</v>
      </c>
      <c r="L675">
        <v>10</v>
      </c>
      <c r="M675">
        <v>0</v>
      </c>
    </row>
    <row r="676" spans="1:13" x14ac:dyDescent="0.25">
      <c r="A676">
        <v>13</v>
      </c>
      <c r="B676" t="s">
        <v>37</v>
      </c>
      <c r="C676">
        <v>2.8</v>
      </c>
      <c r="D676" t="s">
        <v>41</v>
      </c>
      <c r="E676">
        <v>6.4</v>
      </c>
      <c r="F676">
        <v>1.4</v>
      </c>
      <c r="G676">
        <v>2.38</v>
      </c>
      <c r="H676">
        <v>1.4</v>
      </c>
      <c r="I676" t="s">
        <v>40</v>
      </c>
      <c r="J676">
        <v>4</v>
      </c>
      <c r="K676">
        <v>8</v>
      </c>
      <c r="L676">
        <v>10</v>
      </c>
      <c r="M676">
        <v>0</v>
      </c>
    </row>
    <row r="677" spans="1:13" x14ac:dyDescent="0.25">
      <c r="A677">
        <v>19</v>
      </c>
      <c r="B677" t="s">
        <v>37</v>
      </c>
      <c r="C677">
        <v>3.4</v>
      </c>
      <c r="D677" t="s">
        <v>38</v>
      </c>
      <c r="E677">
        <v>4.3</v>
      </c>
      <c r="F677">
        <v>0.7</v>
      </c>
      <c r="G677">
        <v>2.17</v>
      </c>
      <c r="H677">
        <v>0.7</v>
      </c>
      <c r="I677" t="s">
        <v>39</v>
      </c>
      <c r="J677">
        <v>3</v>
      </c>
      <c r="K677">
        <v>1</v>
      </c>
      <c r="L677">
        <v>4</v>
      </c>
      <c r="M677">
        <v>0</v>
      </c>
    </row>
    <row r="678" spans="1:13" x14ac:dyDescent="0.25">
      <c r="A678">
        <v>18</v>
      </c>
      <c r="B678" t="s">
        <v>34</v>
      </c>
      <c r="C678">
        <v>6.3</v>
      </c>
      <c r="D678" t="s">
        <v>41</v>
      </c>
      <c r="E678">
        <v>6.9</v>
      </c>
      <c r="F678">
        <v>1</v>
      </c>
      <c r="G678">
        <v>3.22</v>
      </c>
      <c r="H678">
        <v>0.8</v>
      </c>
      <c r="I678" t="s">
        <v>40</v>
      </c>
      <c r="J678">
        <v>4</v>
      </c>
      <c r="K678">
        <v>6</v>
      </c>
      <c r="L678">
        <v>1</v>
      </c>
      <c r="M678">
        <v>0</v>
      </c>
    </row>
    <row r="679" spans="1:13" x14ac:dyDescent="0.25">
      <c r="A679">
        <v>17</v>
      </c>
      <c r="B679" t="s">
        <v>37</v>
      </c>
      <c r="C679">
        <v>1.1000000000000001</v>
      </c>
      <c r="D679" t="s">
        <v>38</v>
      </c>
      <c r="E679">
        <v>4.5999999999999996</v>
      </c>
      <c r="F679">
        <v>2.5</v>
      </c>
      <c r="G679">
        <v>3.93</v>
      </c>
      <c r="H679">
        <v>0.3</v>
      </c>
      <c r="I679" t="s">
        <v>39</v>
      </c>
      <c r="J679">
        <v>10</v>
      </c>
      <c r="K679">
        <v>6</v>
      </c>
      <c r="L679">
        <v>2</v>
      </c>
      <c r="M679">
        <v>0</v>
      </c>
    </row>
    <row r="680" spans="1:13" x14ac:dyDescent="0.25">
      <c r="A680">
        <v>19</v>
      </c>
      <c r="B680" t="s">
        <v>34</v>
      </c>
      <c r="C680">
        <v>3.8</v>
      </c>
      <c r="D680" t="s">
        <v>35</v>
      </c>
      <c r="E680">
        <v>7.1</v>
      </c>
      <c r="F680">
        <v>2.5</v>
      </c>
      <c r="G680">
        <v>3.81</v>
      </c>
      <c r="H680">
        <v>0.9</v>
      </c>
      <c r="I680" t="s">
        <v>36</v>
      </c>
      <c r="J680">
        <v>6</v>
      </c>
      <c r="K680">
        <v>9</v>
      </c>
      <c r="L680">
        <v>4</v>
      </c>
      <c r="M680">
        <v>0</v>
      </c>
    </row>
    <row r="681" spans="1:13" x14ac:dyDescent="0.25">
      <c r="A681">
        <v>13</v>
      </c>
      <c r="B681" t="s">
        <v>34</v>
      </c>
      <c r="C681">
        <v>2.1</v>
      </c>
      <c r="D681" t="s">
        <v>35</v>
      </c>
      <c r="E681">
        <v>4.0999999999999996</v>
      </c>
      <c r="F681">
        <v>1.6</v>
      </c>
      <c r="G681">
        <v>2.12</v>
      </c>
      <c r="H681">
        <v>1.8</v>
      </c>
      <c r="I681" t="s">
        <v>39</v>
      </c>
      <c r="J681">
        <v>10</v>
      </c>
      <c r="K681">
        <v>9</v>
      </c>
      <c r="L681">
        <v>6</v>
      </c>
      <c r="M681">
        <v>0</v>
      </c>
    </row>
    <row r="682" spans="1:13" x14ac:dyDescent="0.25">
      <c r="A682">
        <v>17</v>
      </c>
      <c r="B682" t="s">
        <v>37</v>
      </c>
      <c r="C682">
        <v>6.2</v>
      </c>
      <c r="D682" t="s">
        <v>41</v>
      </c>
      <c r="E682">
        <v>6.1</v>
      </c>
      <c r="F682">
        <v>2.4</v>
      </c>
      <c r="G682">
        <v>3.05</v>
      </c>
      <c r="H682">
        <v>1.8</v>
      </c>
      <c r="I682" t="s">
        <v>39</v>
      </c>
      <c r="J682">
        <v>3</v>
      </c>
      <c r="K682">
        <v>6</v>
      </c>
      <c r="L682">
        <v>8</v>
      </c>
      <c r="M682">
        <v>0</v>
      </c>
    </row>
    <row r="683" spans="1:13" x14ac:dyDescent="0.25">
      <c r="A683">
        <v>19</v>
      </c>
      <c r="B683" t="s">
        <v>34</v>
      </c>
      <c r="C683">
        <v>6.8</v>
      </c>
      <c r="D683" t="s">
        <v>35</v>
      </c>
      <c r="E683">
        <v>8.4</v>
      </c>
      <c r="F683">
        <v>2.1</v>
      </c>
      <c r="G683">
        <v>3.15</v>
      </c>
      <c r="H683">
        <v>2</v>
      </c>
      <c r="I683" t="s">
        <v>40</v>
      </c>
      <c r="J683">
        <v>4</v>
      </c>
      <c r="K683">
        <v>10</v>
      </c>
      <c r="L683">
        <v>1</v>
      </c>
      <c r="M683">
        <v>0</v>
      </c>
    </row>
    <row r="684" spans="1:13" x14ac:dyDescent="0.25">
      <c r="A684">
        <v>14</v>
      </c>
      <c r="B684" t="s">
        <v>34</v>
      </c>
      <c r="C684">
        <v>5.2</v>
      </c>
      <c r="D684" t="s">
        <v>35</v>
      </c>
      <c r="E684">
        <v>5.5</v>
      </c>
      <c r="F684">
        <v>1.6</v>
      </c>
      <c r="G684">
        <v>3.08</v>
      </c>
      <c r="H684">
        <v>0.5</v>
      </c>
      <c r="I684" t="s">
        <v>40</v>
      </c>
      <c r="J684">
        <v>3</v>
      </c>
      <c r="K684">
        <v>8</v>
      </c>
      <c r="L684">
        <v>1</v>
      </c>
      <c r="M684">
        <v>0</v>
      </c>
    </row>
    <row r="685" spans="1:13" x14ac:dyDescent="0.25">
      <c r="A685">
        <v>15</v>
      </c>
      <c r="B685" t="s">
        <v>34</v>
      </c>
      <c r="C685">
        <v>3.7</v>
      </c>
      <c r="D685" t="s">
        <v>41</v>
      </c>
      <c r="E685">
        <v>4</v>
      </c>
      <c r="F685">
        <v>0.9</v>
      </c>
      <c r="G685">
        <v>3</v>
      </c>
      <c r="H685">
        <v>1.4</v>
      </c>
      <c r="I685" t="s">
        <v>40</v>
      </c>
      <c r="J685">
        <v>1</v>
      </c>
      <c r="K685">
        <v>8</v>
      </c>
      <c r="L685">
        <v>10</v>
      </c>
      <c r="M685">
        <v>0</v>
      </c>
    </row>
    <row r="686" spans="1:13" x14ac:dyDescent="0.25">
      <c r="A686">
        <v>19</v>
      </c>
      <c r="B686" t="s">
        <v>34</v>
      </c>
      <c r="C686">
        <v>2.4</v>
      </c>
      <c r="D686" t="s">
        <v>41</v>
      </c>
      <c r="E686">
        <v>7.5</v>
      </c>
      <c r="F686">
        <v>1.8</v>
      </c>
      <c r="G686">
        <v>2.35</v>
      </c>
      <c r="H686">
        <v>1.4</v>
      </c>
      <c r="I686" t="s">
        <v>36</v>
      </c>
      <c r="J686">
        <v>3</v>
      </c>
      <c r="K686">
        <v>8</v>
      </c>
      <c r="L686">
        <v>6</v>
      </c>
      <c r="M686">
        <v>0</v>
      </c>
    </row>
    <row r="687" spans="1:13" x14ac:dyDescent="0.25">
      <c r="A687">
        <v>13</v>
      </c>
      <c r="B687" t="s">
        <v>34</v>
      </c>
      <c r="C687">
        <v>2.1</v>
      </c>
      <c r="D687" t="s">
        <v>38</v>
      </c>
      <c r="E687">
        <v>5.8</v>
      </c>
      <c r="F687">
        <v>2.7</v>
      </c>
      <c r="G687">
        <v>3.83</v>
      </c>
      <c r="H687">
        <v>1.9</v>
      </c>
      <c r="I687" t="s">
        <v>36</v>
      </c>
      <c r="J687">
        <v>4</v>
      </c>
      <c r="K687">
        <v>6</v>
      </c>
      <c r="L687">
        <v>6</v>
      </c>
      <c r="M687">
        <v>0</v>
      </c>
    </row>
    <row r="688" spans="1:13" x14ac:dyDescent="0.25">
      <c r="A688">
        <v>17</v>
      </c>
      <c r="B688" t="s">
        <v>37</v>
      </c>
      <c r="C688">
        <v>2.6</v>
      </c>
      <c r="D688" t="s">
        <v>38</v>
      </c>
      <c r="E688">
        <v>4.2</v>
      </c>
      <c r="F688">
        <v>0.7</v>
      </c>
      <c r="G688">
        <v>3.02</v>
      </c>
      <c r="H688">
        <v>1.6</v>
      </c>
      <c r="I688" t="s">
        <v>36</v>
      </c>
      <c r="J688">
        <v>7</v>
      </c>
      <c r="K688">
        <v>4</v>
      </c>
      <c r="L688">
        <v>7</v>
      </c>
      <c r="M688">
        <v>0</v>
      </c>
    </row>
    <row r="689" spans="1:13" x14ac:dyDescent="0.25">
      <c r="A689">
        <v>19</v>
      </c>
      <c r="B689" t="s">
        <v>34</v>
      </c>
      <c r="C689">
        <v>6.5</v>
      </c>
      <c r="D689" t="s">
        <v>35</v>
      </c>
      <c r="E689">
        <v>6</v>
      </c>
      <c r="F689">
        <v>1.5</v>
      </c>
      <c r="G689">
        <v>2.12</v>
      </c>
      <c r="H689">
        <v>1.7</v>
      </c>
      <c r="I689" t="s">
        <v>40</v>
      </c>
      <c r="J689">
        <v>8</v>
      </c>
      <c r="K689">
        <v>5</v>
      </c>
      <c r="L689">
        <v>7</v>
      </c>
      <c r="M689">
        <v>0</v>
      </c>
    </row>
    <row r="690" spans="1:13" x14ac:dyDescent="0.25">
      <c r="A690">
        <v>16</v>
      </c>
      <c r="B690" t="s">
        <v>37</v>
      </c>
      <c r="C690">
        <v>3.4</v>
      </c>
      <c r="D690" t="s">
        <v>35</v>
      </c>
      <c r="E690">
        <v>5.3</v>
      </c>
      <c r="F690">
        <v>1.8</v>
      </c>
      <c r="G690">
        <v>3.33</v>
      </c>
      <c r="H690">
        <v>0.3</v>
      </c>
      <c r="I690" t="s">
        <v>36</v>
      </c>
      <c r="J690">
        <v>9</v>
      </c>
      <c r="K690">
        <v>2</v>
      </c>
      <c r="L690">
        <v>4</v>
      </c>
      <c r="M690">
        <v>0</v>
      </c>
    </row>
    <row r="691" spans="1:13" x14ac:dyDescent="0.25">
      <c r="A691">
        <v>16</v>
      </c>
      <c r="B691" t="s">
        <v>34</v>
      </c>
      <c r="C691">
        <v>1.7</v>
      </c>
      <c r="D691" t="s">
        <v>41</v>
      </c>
      <c r="E691">
        <v>4.3</v>
      </c>
      <c r="F691">
        <v>1.4</v>
      </c>
      <c r="G691">
        <v>3.27</v>
      </c>
      <c r="H691">
        <v>1.2</v>
      </c>
      <c r="I691" t="s">
        <v>40</v>
      </c>
      <c r="J691">
        <v>10</v>
      </c>
      <c r="K691">
        <v>4</v>
      </c>
      <c r="L691">
        <v>10</v>
      </c>
      <c r="M691">
        <v>0</v>
      </c>
    </row>
    <row r="692" spans="1:13" x14ac:dyDescent="0.25">
      <c r="A692">
        <v>13</v>
      </c>
      <c r="B692" t="s">
        <v>34</v>
      </c>
      <c r="C692">
        <v>5.6</v>
      </c>
      <c r="D692" t="s">
        <v>41</v>
      </c>
      <c r="E692">
        <v>4.4000000000000004</v>
      </c>
      <c r="F692">
        <v>2.9</v>
      </c>
      <c r="G692">
        <v>3.19</v>
      </c>
      <c r="H692">
        <v>0.9</v>
      </c>
      <c r="I692" t="s">
        <v>40</v>
      </c>
      <c r="J692">
        <v>6</v>
      </c>
      <c r="K692">
        <v>3</v>
      </c>
      <c r="L692">
        <v>4</v>
      </c>
      <c r="M692">
        <v>0</v>
      </c>
    </row>
    <row r="693" spans="1:13" x14ac:dyDescent="0.25">
      <c r="A693">
        <v>15</v>
      </c>
      <c r="B693" t="s">
        <v>37</v>
      </c>
      <c r="C693">
        <v>8</v>
      </c>
      <c r="D693" t="s">
        <v>41</v>
      </c>
      <c r="E693">
        <v>5.7</v>
      </c>
      <c r="F693">
        <v>1.3</v>
      </c>
      <c r="G693">
        <v>3.54</v>
      </c>
      <c r="H693">
        <v>0.1</v>
      </c>
      <c r="I693" t="s">
        <v>39</v>
      </c>
      <c r="J693">
        <v>9</v>
      </c>
      <c r="K693">
        <v>7</v>
      </c>
      <c r="L693">
        <v>5</v>
      </c>
      <c r="M693">
        <v>1</v>
      </c>
    </row>
    <row r="694" spans="1:13" x14ac:dyDescent="0.25">
      <c r="A694">
        <v>15</v>
      </c>
      <c r="B694" t="s">
        <v>37</v>
      </c>
      <c r="C694">
        <v>5.7</v>
      </c>
      <c r="D694" t="s">
        <v>35</v>
      </c>
      <c r="E694">
        <v>8.4</v>
      </c>
      <c r="F694">
        <v>1.3</v>
      </c>
      <c r="G694">
        <v>2.48</v>
      </c>
      <c r="H694">
        <v>0.9</v>
      </c>
      <c r="I694" t="s">
        <v>39</v>
      </c>
      <c r="J694">
        <v>5</v>
      </c>
      <c r="K694">
        <v>2</v>
      </c>
      <c r="L694">
        <v>4</v>
      </c>
      <c r="M694">
        <v>0</v>
      </c>
    </row>
    <row r="695" spans="1:13" x14ac:dyDescent="0.25">
      <c r="A695">
        <v>16</v>
      </c>
      <c r="B695" t="s">
        <v>37</v>
      </c>
      <c r="C695">
        <v>4</v>
      </c>
      <c r="D695" t="s">
        <v>38</v>
      </c>
      <c r="E695">
        <v>5.4</v>
      </c>
      <c r="F695">
        <v>2.7</v>
      </c>
      <c r="G695">
        <v>2.88</v>
      </c>
      <c r="H695">
        <v>1.2</v>
      </c>
      <c r="I695" t="s">
        <v>40</v>
      </c>
      <c r="J695">
        <v>4</v>
      </c>
      <c r="K695">
        <v>10</v>
      </c>
      <c r="L695">
        <v>1</v>
      </c>
      <c r="M695">
        <v>0</v>
      </c>
    </row>
    <row r="696" spans="1:13" x14ac:dyDescent="0.25">
      <c r="A696">
        <v>13</v>
      </c>
      <c r="B696" t="s">
        <v>37</v>
      </c>
      <c r="C696">
        <v>3.5</v>
      </c>
      <c r="D696" t="s">
        <v>35</v>
      </c>
      <c r="E696">
        <v>5.3</v>
      </c>
      <c r="F696">
        <v>1.7</v>
      </c>
      <c r="G696">
        <v>2.2000000000000002</v>
      </c>
      <c r="H696">
        <v>0.8</v>
      </c>
      <c r="I696" t="s">
        <v>39</v>
      </c>
      <c r="J696">
        <v>6</v>
      </c>
      <c r="K696">
        <v>10</v>
      </c>
      <c r="L696">
        <v>8</v>
      </c>
      <c r="M696">
        <v>0</v>
      </c>
    </row>
    <row r="697" spans="1:13" x14ac:dyDescent="0.25">
      <c r="A697">
        <v>15</v>
      </c>
      <c r="B697" t="s">
        <v>37</v>
      </c>
      <c r="C697">
        <v>4.2</v>
      </c>
      <c r="D697" t="s">
        <v>38</v>
      </c>
      <c r="E697">
        <v>5.5</v>
      </c>
      <c r="F697">
        <v>1.3</v>
      </c>
      <c r="G697">
        <v>3.49</v>
      </c>
      <c r="H697">
        <v>0.5</v>
      </c>
      <c r="I697" t="s">
        <v>36</v>
      </c>
      <c r="J697">
        <v>2</v>
      </c>
      <c r="K697">
        <v>5</v>
      </c>
      <c r="L697">
        <v>2</v>
      </c>
      <c r="M697">
        <v>0</v>
      </c>
    </row>
    <row r="698" spans="1:13" x14ac:dyDescent="0.25">
      <c r="A698">
        <v>19</v>
      </c>
      <c r="B698" t="s">
        <v>37</v>
      </c>
      <c r="C698">
        <v>3.9</v>
      </c>
      <c r="D698" t="s">
        <v>38</v>
      </c>
      <c r="E698">
        <v>7.4</v>
      </c>
      <c r="F698">
        <v>2.5</v>
      </c>
      <c r="G698">
        <v>3.74</v>
      </c>
      <c r="H698">
        <v>0.3</v>
      </c>
      <c r="I698" t="s">
        <v>40</v>
      </c>
      <c r="J698">
        <v>5</v>
      </c>
      <c r="K698">
        <v>8</v>
      </c>
      <c r="L698">
        <v>3</v>
      </c>
      <c r="M698">
        <v>0</v>
      </c>
    </row>
    <row r="699" spans="1:13" x14ac:dyDescent="0.25">
      <c r="A699">
        <v>17</v>
      </c>
      <c r="B699" t="s">
        <v>37</v>
      </c>
      <c r="C699">
        <v>6.7</v>
      </c>
      <c r="D699" t="s">
        <v>35</v>
      </c>
      <c r="E699">
        <v>4.3</v>
      </c>
      <c r="F699">
        <v>0.6</v>
      </c>
      <c r="G699">
        <v>3.76</v>
      </c>
      <c r="H699">
        <v>0</v>
      </c>
      <c r="I699" t="s">
        <v>36</v>
      </c>
      <c r="J699">
        <v>2</v>
      </c>
      <c r="K699">
        <v>1</v>
      </c>
      <c r="L699">
        <v>7</v>
      </c>
      <c r="M699">
        <v>0</v>
      </c>
    </row>
    <row r="700" spans="1:13" x14ac:dyDescent="0.25">
      <c r="A700">
        <v>15</v>
      </c>
      <c r="B700" t="s">
        <v>34</v>
      </c>
      <c r="C700">
        <v>6.7</v>
      </c>
      <c r="D700" t="s">
        <v>41</v>
      </c>
      <c r="E700">
        <v>4.3</v>
      </c>
      <c r="F700">
        <v>1.8</v>
      </c>
      <c r="G700">
        <v>3.69</v>
      </c>
      <c r="H700">
        <v>0.7</v>
      </c>
      <c r="I700" t="s">
        <v>39</v>
      </c>
      <c r="J700">
        <v>2</v>
      </c>
      <c r="K700">
        <v>8</v>
      </c>
      <c r="L700">
        <v>7</v>
      </c>
      <c r="M700">
        <v>0</v>
      </c>
    </row>
    <row r="701" spans="1:13" x14ac:dyDescent="0.25">
      <c r="A701">
        <v>14</v>
      </c>
      <c r="B701" t="s">
        <v>37</v>
      </c>
      <c r="C701">
        <v>3.4</v>
      </c>
      <c r="D701" t="s">
        <v>35</v>
      </c>
      <c r="E701">
        <v>5.6</v>
      </c>
      <c r="F701">
        <v>1.7</v>
      </c>
      <c r="G701">
        <v>3.38</v>
      </c>
      <c r="H701">
        <v>0.3</v>
      </c>
      <c r="I701" t="s">
        <v>39</v>
      </c>
      <c r="J701">
        <v>9</v>
      </c>
      <c r="K701">
        <v>3</v>
      </c>
      <c r="L701">
        <v>1</v>
      </c>
      <c r="M701">
        <v>0</v>
      </c>
    </row>
    <row r="702" spans="1:13" x14ac:dyDescent="0.25">
      <c r="A702">
        <v>16</v>
      </c>
      <c r="B702" t="s">
        <v>34</v>
      </c>
      <c r="C702">
        <v>5</v>
      </c>
      <c r="D702" t="s">
        <v>38</v>
      </c>
      <c r="E702">
        <v>4.3</v>
      </c>
      <c r="F702">
        <v>0.7</v>
      </c>
      <c r="G702">
        <v>3.68</v>
      </c>
      <c r="H702">
        <v>1.2</v>
      </c>
      <c r="I702" t="s">
        <v>36</v>
      </c>
      <c r="J702">
        <v>6</v>
      </c>
      <c r="K702">
        <v>2</v>
      </c>
      <c r="L702">
        <v>4</v>
      </c>
      <c r="M702">
        <v>0</v>
      </c>
    </row>
    <row r="703" spans="1:13" x14ac:dyDescent="0.25">
      <c r="A703">
        <v>18</v>
      </c>
      <c r="B703" t="s">
        <v>37</v>
      </c>
      <c r="C703">
        <v>3.8</v>
      </c>
      <c r="D703" t="s">
        <v>35</v>
      </c>
      <c r="E703">
        <v>5.9</v>
      </c>
      <c r="F703">
        <v>1</v>
      </c>
      <c r="G703">
        <v>2.2200000000000002</v>
      </c>
      <c r="H703">
        <v>0.6</v>
      </c>
      <c r="I703" t="s">
        <v>36</v>
      </c>
      <c r="J703">
        <v>9</v>
      </c>
      <c r="K703">
        <v>10</v>
      </c>
      <c r="L703">
        <v>9</v>
      </c>
      <c r="M703">
        <v>0</v>
      </c>
    </row>
    <row r="704" spans="1:13" x14ac:dyDescent="0.25">
      <c r="A704">
        <v>15</v>
      </c>
      <c r="B704" t="s">
        <v>37</v>
      </c>
      <c r="C704">
        <v>7.3</v>
      </c>
      <c r="D704" t="s">
        <v>38</v>
      </c>
      <c r="E704">
        <v>7.3</v>
      </c>
      <c r="F704">
        <v>2.8</v>
      </c>
      <c r="G704">
        <v>2.46</v>
      </c>
      <c r="H704">
        <v>0.3</v>
      </c>
      <c r="I704" t="s">
        <v>36</v>
      </c>
      <c r="J704">
        <v>2</v>
      </c>
      <c r="K704">
        <v>7</v>
      </c>
      <c r="L704">
        <v>5</v>
      </c>
      <c r="M704">
        <v>0</v>
      </c>
    </row>
    <row r="705" spans="1:13" x14ac:dyDescent="0.25">
      <c r="A705">
        <v>18</v>
      </c>
      <c r="B705" t="s">
        <v>37</v>
      </c>
      <c r="C705">
        <v>7.2</v>
      </c>
      <c r="D705" t="s">
        <v>38</v>
      </c>
      <c r="E705">
        <v>5</v>
      </c>
      <c r="F705">
        <v>1.4</v>
      </c>
      <c r="G705">
        <v>3.65</v>
      </c>
      <c r="H705">
        <v>1.1000000000000001</v>
      </c>
      <c r="I705" t="s">
        <v>36</v>
      </c>
      <c r="J705">
        <v>8</v>
      </c>
      <c r="K705">
        <v>8</v>
      </c>
      <c r="L705">
        <v>4</v>
      </c>
      <c r="M705">
        <v>1</v>
      </c>
    </row>
    <row r="706" spans="1:13" x14ac:dyDescent="0.25">
      <c r="A706">
        <v>15</v>
      </c>
      <c r="B706" t="s">
        <v>37</v>
      </c>
      <c r="C706">
        <v>3.1</v>
      </c>
      <c r="D706" t="s">
        <v>41</v>
      </c>
      <c r="E706">
        <v>4.2</v>
      </c>
      <c r="F706">
        <v>2.1</v>
      </c>
      <c r="G706">
        <v>3.21</v>
      </c>
      <c r="H706">
        <v>1.1000000000000001</v>
      </c>
      <c r="I706" t="s">
        <v>40</v>
      </c>
      <c r="J706">
        <v>8</v>
      </c>
      <c r="K706">
        <v>2</v>
      </c>
      <c r="L706">
        <v>10</v>
      </c>
      <c r="M706">
        <v>0</v>
      </c>
    </row>
    <row r="707" spans="1:13" x14ac:dyDescent="0.25">
      <c r="A707">
        <v>15</v>
      </c>
      <c r="B707" t="s">
        <v>37</v>
      </c>
      <c r="C707">
        <v>8</v>
      </c>
      <c r="D707" t="s">
        <v>35</v>
      </c>
      <c r="E707">
        <v>4.4000000000000004</v>
      </c>
      <c r="F707">
        <v>0.7</v>
      </c>
      <c r="G707">
        <v>2.62</v>
      </c>
      <c r="H707">
        <v>1.6</v>
      </c>
      <c r="I707" t="s">
        <v>39</v>
      </c>
      <c r="J707">
        <v>6</v>
      </c>
      <c r="K707">
        <v>7</v>
      </c>
      <c r="L707">
        <v>2</v>
      </c>
      <c r="M707">
        <v>0</v>
      </c>
    </row>
    <row r="708" spans="1:13" x14ac:dyDescent="0.25">
      <c r="A708">
        <v>15</v>
      </c>
      <c r="B708" t="s">
        <v>34</v>
      </c>
      <c r="C708">
        <v>4.3</v>
      </c>
      <c r="D708" t="s">
        <v>35</v>
      </c>
      <c r="E708">
        <v>7.5</v>
      </c>
      <c r="F708">
        <v>1.1000000000000001</v>
      </c>
      <c r="G708">
        <v>2.06</v>
      </c>
      <c r="H708">
        <v>1.8</v>
      </c>
      <c r="I708" t="s">
        <v>40</v>
      </c>
      <c r="J708">
        <v>5</v>
      </c>
      <c r="K708">
        <v>7</v>
      </c>
      <c r="L708">
        <v>2</v>
      </c>
      <c r="M708">
        <v>0</v>
      </c>
    </row>
    <row r="709" spans="1:13" x14ac:dyDescent="0.25">
      <c r="A709">
        <v>14</v>
      </c>
      <c r="B709" t="s">
        <v>37</v>
      </c>
      <c r="C709">
        <v>4</v>
      </c>
      <c r="D709" t="s">
        <v>38</v>
      </c>
      <c r="E709">
        <v>5.0999999999999996</v>
      </c>
      <c r="F709">
        <v>1.1000000000000001</v>
      </c>
      <c r="G709">
        <v>3.98</v>
      </c>
      <c r="H709">
        <v>1.3</v>
      </c>
      <c r="I709" t="s">
        <v>40</v>
      </c>
      <c r="J709">
        <v>5</v>
      </c>
      <c r="K709">
        <v>4</v>
      </c>
      <c r="L709">
        <v>9</v>
      </c>
      <c r="M709">
        <v>0</v>
      </c>
    </row>
    <row r="710" spans="1:13" x14ac:dyDescent="0.25">
      <c r="A710">
        <v>15</v>
      </c>
      <c r="B710" t="s">
        <v>34</v>
      </c>
      <c r="C710">
        <v>6.9</v>
      </c>
      <c r="D710" t="s">
        <v>38</v>
      </c>
      <c r="E710">
        <v>5.6</v>
      </c>
      <c r="F710">
        <v>1.4</v>
      </c>
      <c r="G710">
        <v>2.09</v>
      </c>
      <c r="H710">
        <v>0.7</v>
      </c>
      <c r="I710" t="s">
        <v>36</v>
      </c>
      <c r="J710">
        <v>9</v>
      </c>
      <c r="K710">
        <v>5</v>
      </c>
      <c r="L710">
        <v>9</v>
      </c>
      <c r="M710">
        <v>0</v>
      </c>
    </row>
    <row r="711" spans="1:13" x14ac:dyDescent="0.25">
      <c r="A711">
        <v>13</v>
      </c>
      <c r="B711" t="s">
        <v>34</v>
      </c>
      <c r="C711">
        <v>7</v>
      </c>
      <c r="D711" t="s">
        <v>38</v>
      </c>
      <c r="E711">
        <v>4.4000000000000004</v>
      </c>
      <c r="F711">
        <v>0.9</v>
      </c>
      <c r="G711">
        <v>3.67</v>
      </c>
      <c r="H711">
        <v>0.4</v>
      </c>
      <c r="I711" t="s">
        <v>36</v>
      </c>
      <c r="J711">
        <v>5</v>
      </c>
      <c r="K711">
        <v>3</v>
      </c>
      <c r="L711">
        <v>6</v>
      </c>
      <c r="M711">
        <v>0</v>
      </c>
    </row>
    <row r="712" spans="1:13" x14ac:dyDescent="0.25">
      <c r="A712">
        <v>13</v>
      </c>
      <c r="B712" t="s">
        <v>34</v>
      </c>
      <c r="C712">
        <v>6.2</v>
      </c>
      <c r="D712" t="s">
        <v>35</v>
      </c>
      <c r="E712">
        <v>8.6</v>
      </c>
      <c r="F712">
        <v>1.8</v>
      </c>
      <c r="G712">
        <v>2.19</v>
      </c>
      <c r="H712">
        <v>0.7</v>
      </c>
      <c r="I712" t="s">
        <v>39</v>
      </c>
      <c r="J712">
        <v>8</v>
      </c>
      <c r="K712">
        <v>4</v>
      </c>
      <c r="L712">
        <v>7</v>
      </c>
      <c r="M712">
        <v>0</v>
      </c>
    </row>
    <row r="713" spans="1:13" x14ac:dyDescent="0.25">
      <c r="A713">
        <v>15</v>
      </c>
      <c r="B713" t="s">
        <v>34</v>
      </c>
      <c r="C713">
        <v>7.7</v>
      </c>
      <c r="D713" t="s">
        <v>35</v>
      </c>
      <c r="E713">
        <v>8</v>
      </c>
      <c r="F713">
        <v>1.3</v>
      </c>
      <c r="G713">
        <v>3.78</v>
      </c>
      <c r="H713">
        <v>1.1000000000000001</v>
      </c>
      <c r="I713" t="s">
        <v>40</v>
      </c>
      <c r="J713">
        <v>1</v>
      </c>
      <c r="K713">
        <v>6</v>
      </c>
      <c r="L713">
        <v>5</v>
      </c>
      <c r="M713">
        <v>0</v>
      </c>
    </row>
    <row r="714" spans="1:13" x14ac:dyDescent="0.25">
      <c r="A714">
        <v>19</v>
      </c>
      <c r="B714" t="s">
        <v>37</v>
      </c>
      <c r="C714">
        <v>5.0999999999999996</v>
      </c>
      <c r="D714" t="s">
        <v>41</v>
      </c>
      <c r="E714">
        <v>6.3</v>
      </c>
      <c r="F714">
        <v>2.2999999999999998</v>
      </c>
      <c r="G714">
        <v>2.5499999999999998</v>
      </c>
      <c r="H714">
        <v>2</v>
      </c>
      <c r="I714" t="s">
        <v>40</v>
      </c>
      <c r="J714">
        <v>6</v>
      </c>
      <c r="K714">
        <v>9</v>
      </c>
      <c r="L714">
        <v>7</v>
      </c>
      <c r="M714">
        <v>0</v>
      </c>
    </row>
    <row r="715" spans="1:13" x14ac:dyDescent="0.25">
      <c r="A715">
        <v>15</v>
      </c>
      <c r="B715" t="s">
        <v>34</v>
      </c>
      <c r="C715">
        <v>1</v>
      </c>
      <c r="D715" t="s">
        <v>38</v>
      </c>
      <c r="E715">
        <v>8.5</v>
      </c>
      <c r="F715">
        <v>2</v>
      </c>
      <c r="G715">
        <v>3.77</v>
      </c>
      <c r="H715">
        <v>1.9</v>
      </c>
      <c r="I715" t="s">
        <v>39</v>
      </c>
      <c r="J715">
        <v>4</v>
      </c>
      <c r="K715">
        <v>1</v>
      </c>
      <c r="L715">
        <v>7</v>
      </c>
      <c r="M715">
        <v>0</v>
      </c>
    </row>
    <row r="716" spans="1:13" x14ac:dyDescent="0.25">
      <c r="A716">
        <v>15</v>
      </c>
      <c r="B716" t="s">
        <v>37</v>
      </c>
      <c r="C716">
        <v>1.1000000000000001</v>
      </c>
      <c r="D716" t="s">
        <v>35</v>
      </c>
      <c r="E716">
        <v>4.5999999999999996</v>
      </c>
      <c r="F716">
        <v>1.8</v>
      </c>
      <c r="G716">
        <v>2.35</v>
      </c>
      <c r="H716">
        <v>1.1000000000000001</v>
      </c>
      <c r="I716" t="s">
        <v>40</v>
      </c>
      <c r="J716">
        <v>10</v>
      </c>
      <c r="K716">
        <v>6</v>
      </c>
      <c r="L716">
        <v>6</v>
      </c>
      <c r="M716">
        <v>0</v>
      </c>
    </row>
    <row r="717" spans="1:13" x14ac:dyDescent="0.25">
      <c r="A717">
        <v>13</v>
      </c>
      <c r="B717" t="s">
        <v>37</v>
      </c>
      <c r="C717">
        <v>7</v>
      </c>
      <c r="D717" t="s">
        <v>35</v>
      </c>
      <c r="E717">
        <v>4.9000000000000004</v>
      </c>
      <c r="F717">
        <v>1.2</v>
      </c>
      <c r="G717">
        <v>3.61</v>
      </c>
      <c r="H717">
        <v>0.2</v>
      </c>
      <c r="I717" t="s">
        <v>40</v>
      </c>
      <c r="J717">
        <v>2</v>
      </c>
      <c r="K717">
        <v>3</v>
      </c>
      <c r="L717">
        <v>5</v>
      </c>
      <c r="M717">
        <v>0</v>
      </c>
    </row>
    <row r="718" spans="1:13" x14ac:dyDescent="0.25">
      <c r="A718">
        <v>15</v>
      </c>
      <c r="B718" t="s">
        <v>37</v>
      </c>
      <c r="C718">
        <v>2.7</v>
      </c>
      <c r="D718" t="s">
        <v>41</v>
      </c>
      <c r="E718">
        <v>7.8</v>
      </c>
      <c r="F718">
        <v>1.8</v>
      </c>
      <c r="G718">
        <v>3.9</v>
      </c>
      <c r="H718">
        <v>1.4</v>
      </c>
      <c r="I718" t="s">
        <v>36</v>
      </c>
      <c r="J718">
        <v>5</v>
      </c>
      <c r="K718">
        <v>8</v>
      </c>
      <c r="L718">
        <v>9</v>
      </c>
      <c r="M718">
        <v>0</v>
      </c>
    </row>
    <row r="719" spans="1:13" x14ac:dyDescent="0.25">
      <c r="A719">
        <v>18</v>
      </c>
      <c r="B719" t="s">
        <v>34</v>
      </c>
      <c r="C719">
        <v>2.5</v>
      </c>
      <c r="D719" t="s">
        <v>35</v>
      </c>
      <c r="E719">
        <v>4.2</v>
      </c>
      <c r="F719">
        <v>1.4</v>
      </c>
      <c r="G719">
        <v>3.9</v>
      </c>
      <c r="H719">
        <v>0.7</v>
      </c>
      <c r="I719" t="s">
        <v>39</v>
      </c>
      <c r="J719">
        <v>5</v>
      </c>
      <c r="K719">
        <v>2</v>
      </c>
      <c r="L719">
        <v>3</v>
      </c>
      <c r="M719">
        <v>0</v>
      </c>
    </row>
    <row r="720" spans="1:13" x14ac:dyDescent="0.25">
      <c r="A720">
        <v>18</v>
      </c>
      <c r="B720" t="s">
        <v>37</v>
      </c>
      <c r="C720">
        <v>2.2999999999999998</v>
      </c>
      <c r="D720" t="s">
        <v>38</v>
      </c>
      <c r="E720">
        <v>4.3</v>
      </c>
      <c r="F720">
        <v>0.9</v>
      </c>
      <c r="G720">
        <v>3.27</v>
      </c>
      <c r="H720">
        <v>0.1</v>
      </c>
      <c r="I720" t="s">
        <v>39</v>
      </c>
      <c r="J720">
        <v>5</v>
      </c>
      <c r="K720">
        <v>9</v>
      </c>
      <c r="L720">
        <v>10</v>
      </c>
      <c r="M720">
        <v>0</v>
      </c>
    </row>
    <row r="721" spans="1:13" x14ac:dyDescent="0.25">
      <c r="A721">
        <v>17</v>
      </c>
      <c r="B721" t="s">
        <v>37</v>
      </c>
      <c r="C721">
        <v>2.7</v>
      </c>
      <c r="D721" t="s">
        <v>38</v>
      </c>
      <c r="E721">
        <v>6.6</v>
      </c>
      <c r="F721">
        <v>1.6</v>
      </c>
      <c r="G721">
        <v>3.36</v>
      </c>
      <c r="H721">
        <v>1.6</v>
      </c>
      <c r="I721" t="s">
        <v>39</v>
      </c>
      <c r="J721">
        <v>3</v>
      </c>
      <c r="K721">
        <v>1</v>
      </c>
      <c r="L721">
        <v>2</v>
      </c>
      <c r="M721">
        <v>0</v>
      </c>
    </row>
    <row r="722" spans="1:13" x14ac:dyDescent="0.25">
      <c r="A722">
        <v>14</v>
      </c>
      <c r="B722" t="s">
        <v>34</v>
      </c>
      <c r="C722">
        <v>3.2</v>
      </c>
      <c r="D722" t="s">
        <v>35</v>
      </c>
      <c r="E722">
        <v>5.4</v>
      </c>
      <c r="F722">
        <v>2.6</v>
      </c>
      <c r="G722">
        <v>3.18</v>
      </c>
      <c r="H722">
        <v>0.9</v>
      </c>
      <c r="I722" t="s">
        <v>36</v>
      </c>
      <c r="J722">
        <v>9</v>
      </c>
      <c r="K722">
        <v>1</v>
      </c>
      <c r="L722">
        <v>7</v>
      </c>
      <c r="M722">
        <v>0</v>
      </c>
    </row>
    <row r="723" spans="1:13" x14ac:dyDescent="0.25">
      <c r="A723">
        <v>18</v>
      </c>
      <c r="B723" t="s">
        <v>37</v>
      </c>
      <c r="C723">
        <v>3.8</v>
      </c>
      <c r="D723" t="s">
        <v>41</v>
      </c>
      <c r="E723">
        <v>5.3</v>
      </c>
      <c r="F723">
        <v>2.2999999999999998</v>
      </c>
      <c r="G723">
        <v>3.42</v>
      </c>
      <c r="H723">
        <v>0.4</v>
      </c>
      <c r="I723" t="s">
        <v>36</v>
      </c>
      <c r="J723">
        <v>4</v>
      </c>
      <c r="K723">
        <v>8</v>
      </c>
      <c r="L723">
        <v>2</v>
      </c>
      <c r="M723">
        <v>0</v>
      </c>
    </row>
    <row r="724" spans="1:13" x14ac:dyDescent="0.25">
      <c r="A724">
        <v>14</v>
      </c>
      <c r="B724" t="s">
        <v>37</v>
      </c>
      <c r="C724">
        <v>4.0999999999999996</v>
      </c>
      <c r="D724" t="s">
        <v>38</v>
      </c>
      <c r="E724">
        <v>5.4</v>
      </c>
      <c r="F724">
        <v>2.4</v>
      </c>
      <c r="G724">
        <v>2.71</v>
      </c>
      <c r="H724">
        <v>1.3</v>
      </c>
      <c r="I724" t="s">
        <v>36</v>
      </c>
      <c r="J724">
        <v>9</v>
      </c>
      <c r="K724">
        <v>5</v>
      </c>
      <c r="L724">
        <v>10</v>
      </c>
      <c r="M724">
        <v>0</v>
      </c>
    </row>
    <row r="725" spans="1:13" x14ac:dyDescent="0.25">
      <c r="A725">
        <v>13</v>
      </c>
      <c r="B725" t="s">
        <v>37</v>
      </c>
      <c r="C725">
        <v>2.2999999999999998</v>
      </c>
      <c r="D725" t="s">
        <v>38</v>
      </c>
      <c r="E725">
        <v>6.6</v>
      </c>
      <c r="F725">
        <v>1.4</v>
      </c>
      <c r="G725">
        <v>3.74</v>
      </c>
      <c r="H725">
        <v>1.5</v>
      </c>
      <c r="I725" t="s">
        <v>40</v>
      </c>
      <c r="J725">
        <v>6</v>
      </c>
      <c r="K725">
        <v>10</v>
      </c>
      <c r="L725">
        <v>1</v>
      </c>
      <c r="M725">
        <v>0</v>
      </c>
    </row>
    <row r="726" spans="1:13" x14ac:dyDescent="0.25">
      <c r="A726">
        <v>15</v>
      </c>
      <c r="B726" t="s">
        <v>34</v>
      </c>
      <c r="C726">
        <v>8</v>
      </c>
      <c r="D726" t="s">
        <v>35</v>
      </c>
      <c r="E726">
        <v>4.7</v>
      </c>
      <c r="F726">
        <v>0.6</v>
      </c>
      <c r="G726">
        <v>3.01</v>
      </c>
      <c r="H726">
        <v>1.8</v>
      </c>
      <c r="I726" t="s">
        <v>40</v>
      </c>
      <c r="J726">
        <v>2</v>
      </c>
      <c r="K726">
        <v>9</v>
      </c>
      <c r="L726">
        <v>10</v>
      </c>
      <c r="M726">
        <v>0</v>
      </c>
    </row>
    <row r="727" spans="1:13" x14ac:dyDescent="0.25">
      <c r="A727">
        <v>15</v>
      </c>
      <c r="B727" t="s">
        <v>37</v>
      </c>
      <c r="C727">
        <v>2.9</v>
      </c>
      <c r="D727" t="s">
        <v>38</v>
      </c>
      <c r="E727">
        <v>6.4</v>
      </c>
      <c r="F727">
        <v>0.7</v>
      </c>
      <c r="G727">
        <v>3.41</v>
      </c>
      <c r="H727">
        <v>1.6</v>
      </c>
      <c r="I727" t="s">
        <v>36</v>
      </c>
      <c r="J727">
        <v>3</v>
      </c>
      <c r="K727">
        <v>10</v>
      </c>
      <c r="L727">
        <v>7</v>
      </c>
      <c r="M727">
        <v>0</v>
      </c>
    </row>
    <row r="728" spans="1:13" x14ac:dyDescent="0.25">
      <c r="A728">
        <v>19</v>
      </c>
      <c r="B728" t="s">
        <v>37</v>
      </c>
      <c r="C728">
        <v>4.4000000000000004</v>
      </c>
      <c r="D728" t="s">
        <v>41</v>
      </c>
      <c r="E728">
        <v>5</v>
      </c>
      <c r="F728">
        <v>2.8</v>
      </c>
      <c r="G728">
        <v>2.69</v>
      </c>
      <c r="H728">
        <v>0.4</v>
      </c>
      <c r="I728" t="s">
        <v>39</v>
      </c>
      <c r="J728">
        <v>3</v>
      </c>
      <c r="K728">
        <v>8</v>
      </c>
      <c r="L728">
        <v>8</v>
      </c>
      <c r="M728">
        <v>0</v>
      </c>
    </row>
    <row r="729" spans="1:13" x14ac:dyDescent="0.25">
      <c r="A729">
        <v>18</v>
      </c>
      <c r="B729" t="s">
        <v>37</v>
      </c>
      <c r="C729">
        <v>3.1</v>
      </c>
      <c r="D729" t="s">
        <v>41</v>
      </c>
      <c r="E729">
        <v>6.8</v>
      </c>
      <c r="F729">
        <v>2</v>
      </c>
      <c r="G729">
        <v>3.77</v>
      </c>
      <c r="H729">
        <v>1.4</v>
      </c>
      <c r="I729" t="s">
        <v>36</v>
      </c>
      <c r="J729">
        <v>1</v>
      </c>
      <c r="K729">
        <v>3</v>
      </c>
      <c r="L729">
        <v>4</v>
      </c>
      <c r="M729">
        <v>0</v>
      </c>
    </row>
    <row r="730" spans="1:13" x14ac:dyDescent="0.25">
      <c r="A730">
        <v>18</v>
      </c>
      <c r="B730" t="s">
        <v>34</v>
      </c>
      <c r="C730">
        <v>7.9</v>
      </c>
      <c r="D730" t="s">
        <v>38</v>
      </c>
      <c r="E730">
        <v>7.5</v>
      </c>
      <c r="F730">
        <v>2</v>
      </c>
      <c r="G730">
        <v>2.77</v>
      </c>
      <c r="H730">
        <v>0.9</v>
      </c>
      <c r="I730" t="s">
        <v>36</v>
      </c>
      <c r="J730">
        <v>10</v>
      </c>
      <c r="K730">
        <v>4</v>
      </c>
      <c r="L730">
        <v>4</v>
      </c>
      <c r="M730">
        <v>0</v>
      </c>
    </row>
    <row r="731" spans="1:13" x14ac:dyDescent="0.25">
      <c r="A731">
        <v>14</v>
      </c>
      <c r="B731" t="s">
        <v>37</v>
      </c>
      <c r="C731">
        <v>1.2</v>
      </c>
      <c r="D731" t="s">
        <v>41</v>
      </c>
      <c r="E731">
        <v>7</v>
      </c>
      <c r="F731">
        <v>2.2000000000000002</v>
      </c>
      <c r="G731">
        <v>3.83</v>
      </c>
      <c r="H731">
        <v>0.8</v>
      </c>
      <c r="I731" t="s">
        <v>36</v>
      </c>
      <c r="J731">
        <v>6</v>
      </c>
      <c r="K731">
        <v>10</v>
      </c>
      <c r="L731">
        <v>5</v>
      </c>
      <c r="M731">
        <v>0</v>
      </c>
    </row>
    <row r="732" spans="1:13" x14ac:dyDescent="0.25">
      <c r="A732">
        <v>19</v>
      </c>
      <c r="B732" t="s">
        <v>37</v>
      </c>
      <c r="C732">
        <v>4</v>
      </c>
      <c r="D732" t="s">
        <v>41</v>
      </c>
      <c r="E732">
        <v>7.4</v>
      </c>
      <c r="F732">
        <v>2.7</v>
      </c>
      <c r="G732">
        <v>3.41</v>
      </c>
      <c r="H732">
        <v>1.4</v>
      </c>
      <c r="I732" t="s">
        <v>40</v>
      </c>
      <c r="J732">
        <v>9</v>
      </c>
      <c r="K732">
        <v>4</v>
      </c>
      <c r="L732">
        <v>7</v>
      </c>
      <c r="M732">
        <v>0</v>
      </c>
    </row>
    <row r="733" spans="1:13" x14ac:dyDescent="0.25">
      <c r="A733">
        <v>18</v>
      </c>
      <c r="B733" t="s">
        <v>34</v>
      </c>
      <c r="C733">
        <v>1</v>
      </c>
      <c r="D733" t="s">
        <v>35</v>
      </c>
      <c r="E733">
        <v>7.1</v>
      </c>
      <c r="F733">
        <v>0.8</v>
      </c>
      <c r="G733">
        <v>2.4700000000000002</v>
      </c>
      <c r="H733">
        <v>1.9</v>
      </c>
      <c r="I733" t="s">
        <v>39</v>
      </c>
      <c r="J733">
        <v>4</v>
      </c>
      <c r="K733">
        <v>2</v>
      </c>
      <c r="L733">
        <v>4</v>
      </c>
      <c r="M733">
        <v>0</v>
      </c>
    </row>
    <row r="734" spans="1:13" x14ac:dyDescent="0.25">
      <c r="A734">
        <v>19</v>
      </c>
      <c r="B734" t="s">
        <v>37</v>
      </c>
      <c r="C734">
        <v>7.9</v>
      </c>
      <c r="D734" t="s">
        <v>35</v>
      </c>
      <c r="E734">
        <v>5.7</v>
      </c>
      <c r="F734">
        <v>2.4</v>
      </c>
      <c r="G734">
        <v>3.59</v>
      </c>
      <c r="H734">
        <v>1.9</v>
      </c>
      <c r="I734" t="s">
        <v>39</v>
      </c>
      <c r="J734">
        <v>1</v>
      </c>
      <c r="K734">
        <v>9</v>
      </c>
      <c r="L734">
        <v>9</v>
      </c>
      <c r="M734">
        <v>0</v>
      </c>
    </row>
    <row r="735" spans="1:13" x14ac:dyDescent="0.25">
      <c r="A735">
        <v>14</v>
      </c>
      <c r="B735" t="s">
        <v>34</v>
      </c>
      <c r="C735">
        <v>6.2</v>
      </c>
      <c r="D735" t="s">
        <v>38</v>
      </c>
      <c r="E735">
        <v>4.4000000000000004</v>
      </c>
      <c r="F735">
        <v>0.7</v>
      </c>
      <c r="G735">
        <v>3.45</v>
      </c>
      <c r="H735">
        <v>0.5</v>
      </c>
      <c r="I735" t="s">
        <v>40</v>
      </c>
      <c r="J735">
        <v>9</v>
      </c>
      <c r="K735">
        <v>10</v>
      </c>
      <c r="L735">
        <v>3</v>
      </c>
      <c r="M735">
        <v>1</v>
      </c>
    </row>
    <row r="736" spans="1:13" x14ac:dyDescent="0.25">
      <c r="A736">
        <v>16</v>
      </c>
      <c r="B736" t="s">
        <v>37</v>
      </c>
      <c r="C736">
        <v>2.5</v>
      </c>
      <c r="D736" t="s">
        <v>35</v>
      </c>
      <c r="E736">
        <v>5.4</v>
      </c>
      <c r="F736">
        <v>2.2999999999999998</v>
      </c>
      <c r="G736">
        <v>3.43</v>
      </c>
      <c r="H736">
        <v>0.5</v>
      </c>
      <c r="I736" t="s">
        <v>39</v>
      </c>
      <c r="J736">
        <v>9</v>
      </c>
      <c r="K736">
        <v>1</v>
      </c>
      <c r="L736">
        <v>2</v>
      </c>
      <c r="M736">
        <v>0</v>
      </c>
    </row>
    <row r="737" spans="1:13" x14ac:dyDescent="0.25">
      <c r="A737">
        <v>16</v>
      </c>
      <c r="B737" t="s">
        <v>34</v>
      </c>
      <c r="C737">
        <v>4.7</v>
      </c>
      <c r="D737" t="s">
        <v>41</v>
      </c>
      <c r="E737">
        <v>8.1999999999999993</v>
      </c>
      <c r="F737">
        <v>2.6</v>
      </c>
      <c r="G737">
        <v>3.05</v>
      </c>
      <c r="H737">
        <v>1</v>
      </c>
      <c r="I737" t="s">
        <v>40</v>
      </c>
      <c r="J737">
        <v>4</v>
      </c>
      <c r="K737">
        <v>7</v>
      </c>
      <c r="L737">
        <v>2</v>
      </c>
      <c r="M737">
        <v>0</v>
      </c>
    </row>
    <row r="738" spans="1:13" x14ac:dyDescent="0.25">
      <c r="A738">
        <v>16</v>
      </c>
      <c r="B738" t="s">
        <v>34</v>
      </c>
      <c r="C738">
        <v>6.3</v>
      </c>
      <c r="D738" t="s">
        <v>35</v>
      </c>
      <c r="E738">
        <v>6.5</v>
      </c>
      <c r="F738">
        <v>1</v>
      </c>
      <c r="G738">
        <v>2.52</v>
      </c>
      <c r="H738">
        <v>0.4</v>
      </c>
      <c r="I738" t="s">
        <v>36</v>
      </c>
      <c r="J738">
        <v>1</v>
      </c>
      <c r="K738">
        <v>10</v>
      </c>
      <c r="L738">
        <v>6</v>
      </c>
      <c r="M738">
        <v>0</v>
      </c>
    </row>
    <row r="739" spans="1:13" x14ac:dyDescent="0.25">
      <c r="A739">
        <v>17</v>
      </c>
      <c r="B739" t="s">
        <v>37</v>
      </c>
      <c r="C739">
        <v>7.5</v>
      </c>
      <c r="D739" t="s">
        <v>38</v>
      </c>
      <c r="E739">
        <v>5.4</v>
      </c>
      <c r="F739">
        <v>2.2999999999999998</v>
      </c>
      <c r="G739">
        <v>3.44</v>
      </c>
      <c r="H739">
        <v>0.4</v>
      </c>
      <c r="I739" t="s">
        <v>40</v>
      </c>
      <c r="J739">
        <v>7</v>
      </c>
      <c r="K739">
        <v>9</v>
      </c>
      <c r="L739">
        <v>7</v>
      </c>
      <c r="M739">
        <v>1</v>
      </c>
    </row>
    <row r="740" spans="1:13" x14ac:dyDescent="0.25">
      <c r="A740">
        <v>18</v>
      </c>
      <c r="B740" t="s">
        <v>34</v>
      </c>
      <c r="C740">
        <v>2</v>
      </c>
      <c r="D740" t="s">
        <v>38</v>
      </c>
      <c r="E740">
        <v>8.4</v>
      </c>
      <c r="F740">
        <v>1.5</v>
      </c>
      <c r="G740">
        <v>2.83</v>
      </c>
      <c r="H740">
        <v>1.2</v>
      </c>
      <c r="I740" t="s">
        <v>36</v>
      </c>
      <c r="J740">
        <v>9</v>
      </c>
      <c r="K740">
        <v>4</v>
      </c>
      <c r="L740">
        <v>5</v>
      </c>
      <c r="M740">
        <v>0</v>
      </c>
    </row>
    <row r="741" spans="1:13" x14ac:dyDescent="0.25">
      <c r="A741">
        <v>13</v>
      </c>
      <c r="B741" t="s">
        <v>37</v>
      </c>
      <c r="C741">
        <v>6.3</v>
      </c>
      <c r="D741" t="s">
        <v>35</v>
      </c>
      <c r="E741">
        <v>8.4</v>
      </c>
      <c r="F741">
        <v>1.6</v>
      </c>
      <c r="G741">
        <v>2.0299999999999998</v>
      </c>
      <c r="H741">
        <v>1.5</v>
      </c>
      <c r="I741" t="s">
        <v>40</v>
      </c>
      <c r="J741">
        <v>5</v>
      </c>
      <c r="K741">
        <v>3</v>
      </c>
      <c r="L741">
        <v>9</v>
      </c>
      <c r="M741">
        <v>0</v>
      </c>
    </row>
    <row r="742" spans="1:13" x14ac:dyDescent="0.25">
      <c r="A742">
        <v>16</v>
      </c>
      <c r="B742" t="s">
        <v>34</v>
      </c>
      <c r="C742">
        <v>6.6</v>
      </c>
      <c r="D742" t="s">
        <v>41</v>
      </c>
      <c r="E742">
        <v>8.9</v>
      </c>
      <c r="F742">
        <v>2</v>
      </c>
      <c r="G742">
        <v>3.44</v>
      </c>
      <c r="H742">
        <v>1.7</v>
      </c>
      <c r="I742" t="s">
        <v>36</v>
      </c>
      <c r="J742">
        <v>10</v>
      </c>
      <c r="K742">
        <v>9</v>
      </c>
      <c r="L742">
        <v>3</v>
      </c>
      <c r="M742">
        <v>0</v>
      </c>
    </row>
    <row r="743" spans="1:13" x14ac:dyDescent="0.25">
      <c r="A743">
        <v>19</v>
      </c>
      <c r="B743" t="s">
        <v>37</v>
      </c>
      <c r="C743">
        <v>3.6</v>
      </c>
      <c r="D743" t="s">
        <v>41</v>
      </c>
      <c r="E743">
        <v>5.6</v>
      </c>
      <c r="F743">
        <v>1.7</v>
      </c>
      <c r="G743">
        <v>3.57</v>
      </c>
      <c r="H743">
        <v>1.5</v>
      </c>
      <c r="I743" t="s">
        <v>36</v>
      </c>
      <c r="J743">
        <v>10</v>
      </c>
      <c r="K743">
        <v>4</v>
      </c>
      <c r="L743">
        <v>3</v>
      </c>
      <c r="M743">
        <v>0</v>
      </c>
    </row>
    <row r="744" spans="1:13" x14ac:dyDescent="0.25">
      <c r="A744">
        <v>16</v>
      </c>
      <c r="B744" t="s">
        <v>37</v>
      </c>
      <c r="C744">
        <v>3.2</v>
      </c>
      <c r="D744" t="s">
        <v>41</v>
      </c>
      <c r="E744">
        <v>4.5999999999999996</v>
      </c>
      <c r="F744">
        <v>2.5</v>
      </c>
      <c r="G744">
        <v>2.62</v>
      </c>
      <c r="H744">
        <v>1.8</v>
      </c>
      <c r="I744" t="s">
        <v>36</v>
      </c>
      <c r="J744">
        <v>9</v>
      </c>
      <c r="K744">
        <v>5</v>
      </c>
      <c r="L744">
        <v>1</v>
      </c>
      <c r="M744">
        <v>0</v>
      </c>
    </row>
    <row r="745" spans="1:13" x14ac:dyDescent="0.25">
      <c r="A745">
        <v>13</v>
      </c>
      <c r="B745" t="s">
        <v>37</v>
      </c>
      <c r="C745">
        <v>3.1</v>
      </c>
      <c r="D745" t="s">
        <v>35</v>
      </c>
      <c r="E745">
        <v>6.4</v>
      </c>
      <c r="F745">
        <v>1.6</v>
      </c>
      <c r="G745">
        <v>3.69</v>
      </c>
      <c r="H745">
        <v>0.9</v>
      </c>
      <c r="I745" t="s">
        <v>40</v>
      </c>
      <c r="J745">
        <v>1</v>
      </c>
      <c r="K745">
        <v>2</v>
      </c>
      <c r="L745">
        <v>1</v>
      </c>
      <c r="M745">
        <v>0</v>
      </c>
    </row>
    <row r="746" spans="1:13" x14ac:dyDescent="0.25">
      <c r="A746">
        <v>18</v>
      </c>
      <c r="B746" t="s">
        <v>34</v>
      </c>
      <c r="C746">
        <v>6.7</v>
      </c>
      <c r="D746" t="s">
        <v>35</v>
      </c>
      <c r="E746">
        <v>8.8000000000000007</v>
      </c>
      <c r="F746">
        <v>1.9</v>
      </c>
      <c r="G746">
        <v>2.5499999999999998</v>
      </c>
      <c r="H746">
        <v>1</v>
      </c>
      <c r="I746" t="s">
        <v>36</v>
      </c>
      <c r="J746">
        <v>5</v>
      </c>
      <c r="K746">
        <v>8</v>
      </c>
      <c r="L746">
        <v>3</v>
      </c>
      <c r="M746">
        <v>0</v>
      </c>
    </row>
    <row r="747" spans="1:13" x14ac:dyDescent="0.25">
      <c r="A747">
        <v>17</v>
      </c>
      <c r="B747" t="s">
        <v>34</v>
      </c>
      <c r="C747">
        <v>6.6</v>
      </c>
      <c r="D747" t="s">
        <v>38</v>
      </c>
      <c r="E747">
        <v>8.1999999999999993</v>
      </c>
      <c r="F747">
        <v>0.7</v>
      </c>
      <c r="G747">
        <v>2.88</v>
      </c>
      <c r="H747">
        <v>0.8</v>
      </c>
      <c r="I747" t="s">
        <v>36</v>
      </c>
      <c r="J747">
        <v>1</v>
      </c>
      <c r="K747">
        <v>7</v>
      </c>
      <c r="L747">
        <v>7</v>
      </c>
      <c r="M747">
        <v>0</v>
      </c>
    </row>
    <row r="748" spans="1:13" x14ac:dyDescent="0.25">
      <c r="A748">
        <v>14</v>
      </c>
      <c r="B748" t="s">
        <v>37</v>
      </c>
      <c r="C748">
        <v>7</v>
      </c>
      <c r="D748" t="s">
        <v>35</v>
      </c>
      <c r="E748">
        <v>4.5</v>
      </c>
      <c r="F748">
        <v>1.6</v>
      </c>
      <c r="G748">
        <v>2.83</v>
      </c>
      <c r="H748">
        <v>0.4</v>
      </c>
      <c r="I748" t="s">
        <v>40</v>
      </c>
      <c r="J748">
        <v>8</v>
      </c>
      <c r="K748">
        <v>1</v>
      </c>
      <c r="L748">
        <v>7</v>
      </c>
      <c r="M748">
        <v>0</v>
      </c>
    </row>
    <row r="749" spans="1:13" x14ac:dyDescent="0.25">
      <c r="A749">
        <v>16</v>
      </c>
      <c r="B749" t="s">
        <v>37</v>
      </c>
      <c r="C749">
        <v>4.8</v>
      </c>
      <c r="D749" t="s">
        <v>41</v>
      </c>
      <c r="E749">
        <v>5.0999999999999996</v>
      </c>
      <c r="F749">
        <v>2.1</v>
      </c>
      <c r="G749">
        <v>2.4900000000000002</v>
      </c>
      <c r="H749">
        <v>1.6</v>
      </c>
      <c r="I749" t="s">
        <v>36</v>
      </c>
      <c r="J749">
        <v>4</v>
      </c>
      <c r="K749">
        <v>9</v>
      </c>
      <c r="L749">
        <v>1</v>
      </c>
      <c r="M749">
        <v>0</v>
      </c>
    </row>
    <row r="750" spans="1:13" x14ac:dyDescent="0.25">
      <c r="A750">
        <v>13</v>
      </c>
      <c r="B750" t="s">
        <v>37</v>
      </c>
      <c r="C750">
        <v>5.8</v>
      </c>
      <c r="D750" t="s">
        <v>35</v>
      </c>
      <c r="E750">
        <v>6.3</v>
      </c>
      <c r="F750">
        <v>1.1000000000000001</v>
      </c>
      <c r="G750">
        <v>3.09</v>
      </c>
      <c r="H750">
        <v>0.9</v>
      </c>
      <c r="I750" t="s">
        <v>40</v>
      </c>
      <c r="J750">
        <v>8</v>
      </c>
      <c r="K750">
        <v>4</v>
      </c>
      <c r="L750">
        <v>9</v>
      </c>
      <c r="M750">
        <v>0</v>
      </c>
    </row>
    <row r="751" spans="1:13" x14ac:dyDescent="0.25">
      <c r="A751">
        <v>19</v>
      </c>
      <c r="B751" t="s">
        <v>37</v>
      </c>
      <c r="C751">
        <v>6</v>
      </c>
      <c r="D751" t="s">
        <v>41</v>
      </c>
      <c r="E751">
        <v>6.3</v>
      </c>
      <c r="F751">
        <v>2.8</v>
      </c>
      <c r="G751">
        <v>3.98</v>
      </c>
      <c r="H751">
        <v>2</v>
      </c>
      <c r="I751" t="s">
        <v>40</v>
      </c>
      <c r="J751">
        <v>2</v>
      </c>
      <c r="K751">
        <v>6</v>
      </c>
      <c r="L751">
        <v>2</v>
      </c>
      <c r="M751">
        <v>0</v>
      </c>
    </row>
    <row r="752" spans="1:13" x14ac:dyDescent="0.25">
      <c r="A752">
        <v>15</v>
      </c>
      <c r="B752" t="s">
        <v>34</v>
      </c>
      <c r="C752">
        <v>4</v>
      </c>
      <c r="D752" t="s">
        <v>41</v>
      </c>
      <c r="E752">
        <v>5.2</v>
      </c>
      <c r="F752">
        <v>1.8</v>
      </c>
      <c r="G752">
        <v>3.3</v>
      </c>
      <c r="H752">
        <v>0.7</v>
      </c>
      <c r="I752" t="s">
        <v>40</v>
      </c>
      <c r="J752">
        <v>10</v>
      </c>
      <c r="K752">
        <v>5</v>
      </c>
      <c r="L752">
        <v>1</v>
      </c>
      <c r="M752">
        <v>0</v>
      </c>
    </row>
    <row r="753" spans="1:13" x14ac:dyDescent="0.25">
      <c r="A753">
        <v>14</v>
      </c>
      <c r="B753" t="s">
        <v>37</v>
      </c>
      <c r="C753">
        <v>5.8</v>
      </c>
      <c r="D753" t="s">
        <v>41</v>
      </c>
      <c r="E753">
        <v>4.8</v>
      </c>
      <c r="F753">
        <v>2.6</v>
      </c>
      <c r="G753">
        <v>2.08</v>
      </c>
      <c r="H753">
        <v>0.8</v>
      </c>
      <c r="I753" t="s">
        <v>40</v>
      </c>
      <c r="J753">
        <v>6</v>
      </c>
      <c r="K753">
        <v>4</v>
      </c>
      <c r="L753">
        <v>9</v>
      </c>
      <c r="M753">
        <v>0</v>
      </c>
    </row>
    <row r="754" spans="1:13" x14ac:dyDescent="0.25">
      <c r="A754">
        <v>19</v>
      </c>
      <c r="B754" t="s">
        <v>34</v>
      </c>
      <c r="C754">
        <v>5.2</v>
      </c>
      <c r="D754" t="s">
        <v>35</v>
      </c>
      <c r="E754">
        <v>7.6</v>
      </c>
      <c r="F754">
        <v>1.3</v>
      </c>
      <c r="G754">
        <v>3.89</v>
      </c>
      <c r="H754">
        <v>1.5</v>
      </c>
      <c r="I754" t="s">
        <v>39</v>
      </c>
      <c r="J754">
        <v>4</v>
      </c>
      <c r="K754">
        <v>5</v>
      </c>
      <c r="L754">
        <v>8</v>
      </c>
      <c r="M754">
        <v>0</v>
      </c>
    </row>
    <row r="755" spans="1:13" x14ac:dyDescent="0.25">
      <c r="A755">
        <v>17</v>
      </c>
      <c r="B755" t="s">
        <v>34</v>
      </c>
      <c r="C755">
        <v>2.9</v>
      </c>
      <c r="D755" t="s">
        <v>41</v>
      </c>
      <c r="E755">
        <v>6.7</v>
      </c>
      <c r="F755">
        <v>1.5</v>
      </c>
      <c r="G755">
        <v>3.62</v>
      </c>
      <c r="H755">
        <v>0.8</v>
      </c>
      <c r="I755" t="s">
        <v>40</v>
      </c>
      <c r="J755">
        <v>10</v>
      </c>
      <c r="K755">
        <v>6</v>
      </c>
      <c r="L755">
        <v>4</v>
      </c>
      <c r="M755">
        <v>0</v>
      </c>
    </row>
    <row r="756" spans="1:13" x14ac:dyDescent="0.25">
      <c r="A756">
        <v>18</v>
      </c>
      <c r="B756" t="s">
        <v>37</v>
      </c>
      <c r="C756">
        <v>7.5</v>
      </c>
      <c r="D756" t="s">
        <v>38</v>
      </c>
      <c r="E756">
        <v>7.5</v>
      </c>
      <c r="F756">
        <v>1.4</v>
      </c>
      <c r="G756">
        <v>3.14</v>
      </c>
      <c r="H756">
        <v>2</v>
      </c>
      <c r="I756" t="s">
        <v>36</v>
      </c>
      <c r="J756">
        <v>2</v>
      </c>
      <c r="K756">
        <v>9</v>
      </c>
      <c r="L756">
        <v>2</v>
      </c>
      <c r="M756">
        <v>0</v>
      </c>
    </row>
    <row r="757" spans="1:13" x14ac:dyDescent="0.25">
      <c r="A757">
        <v>13</v>
      </c>
      <c r="B757" t="s">
        <v>37</v>
      </c>
      <c r="C757">
        <v>5.8</v>
      </c>
      <c r="D757" t="s">
        <v>35</v>
      </c>
      <c r="E757">
        <v>6.1</v>
      </c>
      <c r="F757">
        <v>1.2</v>
      </c>
      <c r="G757">
        <v>3.81</v>
      </c>
      <c r="H757">
        <v>1.8</v>
      </c>
      <c r="I757" t="s">
        <v>40</v>
      </c>
      <c r="J757">
        <v>6</v>
      </c>
      <c r="K757">
        <v>10</v>
      </c>
      <c r="L757">
        <v>6</v>
      </c>
      <c r="M757">
        <v>0</v>
      </c>
    </row>
    <row r="758" spans="1:13" x14ac:dyDescent="0.25">
      <c r="A758">
        <v>14</v>
      </c>
      <c r="B758" t="s">
        <v>34</v>
      </c>
      <c r="C758">
        <v>7.6</v>
      </c>
      <c r="D758" t="s">
        <v>35</v>
      </c>
      <c r="E758">
        <v>5.8</v>
      </c>
      <c r="F758">
        <v>1.9</v>
      </c>
      <c r="G758">
        <v>3.49</v>
      </c>
      <c r="H758">
        <v>1.7</v>
      </c>
      <c r="I758" t="s">
        <v>39</v>
      </c>
      <c r="J758">
        <v>10</v>
      </c>
      <c r="K758">
        <v>1</v>
      </c>
      <c r="L758">
        <v>3</v>
      </c>
      <c r="M758">
        <v>0</v>
      </c>
    </row>
    <row r="759" spans="1:13" x14ac:dyDescent="0.25">
      <c r="A759">
        <v>15</v>
      </c>
      <c r="B759" t="s">
        <v>37</v>
      </c>
      <c r="C759">
        <v>1.3</v>
      </c>
      <c r="D759" t="s">
        <v>38</v>
      </c>
      <c r="E759">
        <v>7.6</v>
      </c>
      <c r="F759">
        <v>0.6</v>
      </c>
      <c r="G759">
        <v>3.46</v>
      </c>
      <c r="H759">
        <v>1.9</v>
      </c>
      <c r="I759" t="s">
        <v>36</v>
      </c>
      <c r="J759">
        <v>1</v>
      </c>
      <c r="K759">
        <v>1</v>
      </c>
      <c r="L759">
        <v>4</v>
      </c>
      <c r="M759">
        <v>0</v>
      </c>
    </row>
    <row r="760" spans="1:13" x14ac:dyDescent="0.25">
      <c r="A760">
        <v>15</v>
      </c>
      <c r="B760" t="s">
        <v>34</v>
      </c>
      <c r="C760">
        <v>3.7</v>
      </c>
      <c r="D760" t="s">
        <v>41</v>
      </c>
      <c r="E760">
        <v>5.7</v>
      </c>
      <c r="F760">
        <v>1.3</v>
      </c>
      <c r="G760">
        <v>3.24</v>
      </c>
      <c r="H760">
        <v>0.2</v>
      </c>
      <c r="I760" t="s">
        <v>36</v>
      </c>
      <c r="J760">
        <v>4</v>
      </c>
      <c r="K760">
        <v>9</v>
      </c>
      <c r="L760">
        <v>10</v>
      </c>
      <c r="M760">
        <v>0</v>
      </c>
    </row>
    <row r="761" spans="1:13" x14ac:dyDescent="0.25">
      <c r="A761">
        <v>18</v>
      </c>
      <c r="B761" t="s">
        <v>34</v>
      </c>
      <c r="C761">
        <v>3.6</v>
      </c>
      <c r="D761" t="s">
        <v>35</v>
      </c>
      <c r="E761">
        <v>4.7</v>
      </c>
      <c r="F761">
        <v>2.5</v>
      </c>
      <c r="G761">
        <v>2.73</v>
      </c>
      <c r="H761">
        <v>1.2</v>
      </c>
      <c r="I761" t="s">
        <v>40</v>
      </c>
      <c r="J761">
        <v>9</v>
      </c>
      <c r="K761">
        <v>7</v>
      </c>
      <c r="L761">
        <v>6</v>
      </c>
      <c r="M761">
        <v>0</v>
      </c>
    </row>
    <row r="762" spans="1:13" x14ac:dyDescent="0.25">
      <c r="A762">
        <v>15</v>
      </c>
      <c r="B762" t="s">
        <v>34</v>
      </c>
      <c r="C762">
        <v>6.4</v>
      </c>
      <c r="D762" t="s">
        <v>38</v>
      </c>
      <c r="E762">
        <v>6.9</v>
      </c>
      <c r="F762">
        <v>2.9</v>
      </c>
      <c r="G762">
        <v>2.48</v>
      </c>
      <c r="H762">
        <v>0.9</v>
      </c>
      <c r="I762" t="s">
        <v>36</v>
      </c>
      <c r="J762">
        <v>8</v>
      </c>
      <c r="K762">
        <v>4</v>
      </c>
      <c r="L762">
        <v>8</v>
      </c>
      <c r="M762">
        <v>0</v>
      </c>
    </row>
    <row r="763" spans="1:13" x14ac:dyDescent="0.25">
      <c r="A763">
        <v>13</v>
      </c>
      <c r="B763" t="s">
        <v>34</v>
      </c>
      <c r="C763">
        <v>6</v>
      </c>
      <c r="D763" t="s">
        <v>38</v>
      </c>
      <c r="E763">
        <v>4.8</v>
      </c>
      <c r="F763">
        <v>2.6</v>
      </c>
      <c r="G763">
        <v>2.74</v>
      </c>
      <c r="H763">
        <v>1.6</v>
      </c>
      <c r="I763" t="s">
        <v>39</v>
      </c>
      <c r="J763">
        <v>6</v>
      </c>
      <c r="K763">
        <v>10</v>
      </c>
      <c r="L763">
        <v>8</v>
      </c>
      <c r="M763">
        <v>0</v>
      </c>
    </row>
    <row r="764" spans="1:13" x14ac:dyDescent="0.25">
      <c r="A764">
        <v>14</v>
      </c>
      <c r="B764" t="s">
        <v>37</v>
      </c>
      <c r="C764">
        <v>1.3</v>
      </c>
      <c r="D764" t="s">
        <v>38</v>
      </c>
      <c r="E764">
        <v>7.7</v>
      </c>
      <c r="F764">
        <v>1.9</v>
      </c>
      <c r="G764">
        <v>2.27</v>
      </c>
      <c r="H764">
        <v>1.5</v>
      </c>
      <c r="I764" t="s">
        <v>36</v>
      </c>
      <c r="J764">
        <v>7</v>
      </c>
      <c r="K764">
        <v>2</v>
      </c>
      <c r="L764">
        <v>2</v>
      </c>
      <c r="M764">
        <v>0</v>
      </c>
    </row>
    <row r="765" spans="1:13" x14ac:dyDescent="0.25">
      <c r="A765">
        <v>18</v>
      </c>
      <c r="B765" t="s">
        <v>34</v>
      </c>
      <c r="C765">
        <v>3.7</v>
      </c>
      <c r="D765" t="s">
        <v>35</v>
      </c>
      <c r="E765">
        <v>7</v>
      </c>
      <c r="F765">
        <v>1.4</v>
      </c>
      <c r="G765">
        <v>2.0499999999999998</v>
      </c>
      <c r="H765">
        <v>0.4</v>
      </c>
      <c r="I765" t="s">
        <v>40</v>
      </c>
      <c r="J765">
        <v>10</v>
      </c>
      <c r="K765">
        <v>9</v>
      </c>
      <c r="L765">
        <v>5</v>
      </c>
      <c r="M765">
        <v>0</v>
      </c>
    </row>
    <row r="766" spans="1:13" x14ac:dyDescent="0.25">
      <c r="A766">
        <v>18</v>
      </c>
      <c r="B766" t="s">
        <v>37</v>
      </c>
      <c r="C766">
        <v>8</v>
      </c>
      <c r="D766" t="s">
        <v>38</v>
      </c>
      <c r="E766">
        <v>4.3</v>
      </c>
      <c r="F766">
        <v>0.8</v>
      </c>
      <c r="G766">
        <v>3.44</v>
      </c>
      <c r="H766">
        <v>0.8</v>
      </c>
      <c r="I766" t="s">
        <v>40</v>
      </c>
      <c r="J766">
        <v>3</v>
      </c>
      <c r="K766">
        <v>4</v>
      </c>
      <c r="L766">
        <v>4</v>
      </c>
      <c r="M766">
        <v>0</v>
      </c>
    </row>
    <row r="767" spans="1:13" x14ac:dyDescent="0.25">
      <c r="A767">
        <v>19</v>
      </c>
      <c r="B767" t="s">
        <v>37</v>
      </c>
      <c r="C767">
        <v>4.0999999999999996</v>
      </c>
      <c r="D767" t="s">
        <v>41</v>
      </c>
      <c r="E767">
        <v>7.5</v>
      </c>
      <c r="F767">
        <v>2.7</v>
      </c>
      <c r="G767">
        <v>2.66</v>
      </c>
      <c r="H767">
        <v>1.6</v>
      </c>
      <c r="I767" t="s">
        <v>39</v>
      </c>
      <c r="J767">
        <v>5</v>
      </c>
      <c r="K767">
        <v>10</v>
      </c>
      <c r="L767">
        <v>5</v>
      </c>
      <c r="M767">
        <v>0</v>
      </c>
    </row>
    <row r="768" spans="1:13" x14ac:dyDescent="0.25">
      <c r="A768">
        <v>13</v>
      </c>
      <c r="B768" t="s">
        <v>34</v>
      </c>
      <c r="C768">
        <v>3.9</v>
      </c>
      <c r="D768" t="s">
        <v>41</v>
      </c>
      <c r="E768">
        <v>8.6999999999999993</v>
      </c>
      <c r="F768">
        <v>1.5</v>
      </c>
      <c r="G768">
        <v>2.71</v>
      </c>
      <c r="H768">
        <v>0.7</v>
      </c>
      <c r="I768" t="s">
        <v>36</v>
      </c>
      <c r="J768">
        <v>7</v>
      </c>
      <c r="K768">
        <v>1</v>
      </c>
      <c r="L768">
        <v>4</v>
      </c>
      <c r="M768">
        <v>0</v>
      </c>
    </row>
    <row r="769" spans="1:13" x14ac:dyDescent="0.25">
      <c r="A769">
        <v>15</v>
      </c>
      <c r="B769" t="s">
        <v>37</v>
      </c>
      <c r="C769">
        <v>6.4</v>
      </c>
      <c r="D769" t="s">
        <v>35</v>
      </c>
      <c r="E769">
        <v>5.9</v>
      </c>
      <c r="F769">
        <v>1.6</v>
      </c>
      <c r="G769">
        <v>3.97</v>
      </c>
      <c r="H769">
        <v>1</v>
      </c>
      <c r="I769" t="s">
        <v>39</v>
      </c>
      <c r="J769">
        <v>10</v>
      </c>
      <c r="K769">
        <v>2</v>
      </c>
      <c r="L769">
        <v>6</v>
      </c>
      <c r="M769">
        <v>0</v>
      </c>
    </row>
    <row r="770" spans="1:13" x14ac:dyDescent="0.25">
      <c r="A770">
        <v>19</v>
      </c>
      <c r="B770" t="s">
        <v>37</v>
      </c>
      <c r="C770">
        <v>1.3</v>
      </c>
      <c r="D770" t="s">
        <v>38</v>
      </c>
      <c r="E770">
        <v>6.5</v>
      </c>
      <c r="F770">
        <v>2.1</v>
      </c>
      <c r="G770">
        <v>3.68</v>
      </c>
      <c r="H770">
        <v>1.1000000000000001</v>
      </c>
      <c r="I770" t="s">
        <v>39</v>
      </c>
      <c r="J770">
        <v>7</v>
      </c>
      <c r="K770">
        <v>1</v>
      </c>
      <c r="L770">
        <v>9</v>
      </c>
      <c r="M770">
        <v>0</v>
      </c>
    </row>
    <row r="771" spans="1:13" x14ac:dyDescent="0.25">
      <c r="A771">
        <v>18</v>
      </c>
      <c r="B771" t="s">
        <v>37</v>
      </c>
      <c r="C771">
        <v>5</v>
      </c>
      <c r="D771" t="s">
        <v>35</v>
      </c>
      <c r="E771">
        <v>6.6</v>
      </c>
      <c r="F771">
        <v>1.8</v>
      </c>
      <c r="G771">
        <v>3.87</v>
      </c>
      <c r="H771">
        <v>1.2</v>
      </c>
      <c r="I771" t="s">
        <v>39</v>
      </c>
      <c r="J771">
        <v>3</v>
      </c>
      <c r="K771">
        <v>4</v>
      </c>
      <c r="L771">
        <v>2</v>
      </c>
      <c r="M771">
        <v>0</v>
      </c>
    </row>
    <row r="772" spans="1:13" x14ac:dyDescent="0.25">
      <c r="A772">
        <v>18</v>
      </c>
      <c r="B772" t="s">
        <v>34</v>
      </c>
      <c r="C772">
        <v>5.5</v>
      </c>
      <c r="D772" t="s">
        <v>41</v>
      </c>
      <c r="E772">
        <v>5.2</v>
      </c>
      <c r="F772">
        <v>1.4</v>
      </c>
      <c r="G772">
        <v>3.24</v>
      </c>
      <c r="H772">
        <v>0.9</v>
      </c>
      <c r="I772" t="s">
        <v>40</v>
      </c>
      <c r="J772">
        <v>10</v>
      </c>
      <c r="K772">
        <v>5</v>
      </c>
      <c r="L772">
        <v>7</v>
      </c>
      <c r="M772">
        <v>0</v>
      </c>
    </row>
    <row r="773" spans="1:13" x14ac:dyDescent="0.25">
      <c r="A773">
        <v>13</v>
      </c>
      <c r="B773" t="s">
        <v>37</v>
      </c>
      <c r="C773">
        <v>7.6</v>
      </c>
      <c r="D773" t="s">
        <v>35</v>
      </c>
      <c r="E773">
        <v>7.9</v>
      </c>
      <c r="F773">
        <v>3</v>
      </c>
      <c r="G773">
        <v>2.54</v>
      </c>
      <c r="H773">
        <v>1.2</v>
      </c>
      <c r="I773" t="s">
        <v>39</v>
      </c>
      <c r="J773">
        <v>8</v>
      </c>
      <c r="K773">
        <v>8</v>
      </c>
      <c r="L773">
        <v>1</v>
      </c>
      <c r="M773">
        <v>0</v>
      </c>
    </row>
    <row r="774" spans="1:13" x14ac:dyDescent="0.25">
      <c r="A774">
        <v>19</v>
      </c>
      <c r="B774" t="s">
        <v>37</v>
      </c>
      <c r="C774">
        <v>6.3</v>
      </c>
      <c r="D774" t="s">
        <v>41</v>
      </c>
      <c r="E774">
        <v>5.7</v>
      </c>
      <c r="F774">
        <v>2.2999999999999998</v>
      </c>
      <c r="G774">
        <v>2.16</v>
      </c>
      <c r="H774">
        <v>1.9</v>
      </c>
      <c r="I774" t="s">
        <v>39</v>
      </c>
      <c r="J774">
        <v>6</v>
      </c>
      <c r="K774">
        <v>3</v>
      </c>
      <c r="L774">
        <v>6</v>
      </c>
      <c r="M774">
        <v>0</v>
      </c>
    </row>
    <row r="775" spans="1:13" x14ac:dyDescent="0.25">
      <c r="A775">
        <v>18</v>
      </c>
      <c r="B775" t="s">
        <v>37</v>
      </c>
      <c r="C775">
        <v>2</v>
      </c>
      <c r="D775" t="s">
        <v>35</v>
      </c>
      <c r="E775">
        <v>5.9</v>
      </c>
      <c r="F775">
        <v>2.9</v>
      </c>
      <c r="G775">
        <v>3.52</v>
      </c>
      <c r="H775">
        <v>1.1000000000000001</v>
      </c>
      <c r="I775" t="s">
        <v>39</v>
      </c>
      <c r="J775">
        <v>8</v>
      </c>
      <c r="K775">
        <v>6</v>
      </c>
      <c r="L775">
        <v>10</v>
      </c>
      <c r="M775">
        <v>0</v>
      </c>
    </row>
    <row r="776" spans="1:13" x14ac:dyDescent="0.25">
      <c r="A776">
        <v>15</v>
      </c>
      <c r="B776" t="s">
        <v>34</v>
      </c>
      <c r="C776">
        <v>4</v>
      </c>
      <c r="D776" t="s">
        <v>38</v>
      </c>
      <c r="E776">
        <v>4.5</v>
      </c>
      <c r="F776">
        <v>1.9</v>
      </c>
      <c r="G776">
        <v>3.22</v>
      </c>
      <c r="H776">
        <v>0.2</v>
      </c>
      <c r="I776" t="s">
        <v>40</v>
      </c>
      <c r="J776">
        <v>4</v>
      </c>
      <c r="K776">
        <v>5</v>
      </c>
      <c r="L776">
        <v>3</v>
      </c>
      <c r="M776">
        <v>0</v>
      </c>
    </row>
    <row r="777" spans="1:13" x14ac:dyDescent="0.25">
      <c r="A777">
        <v>14</v>
      </c>
      <c r="B777" t="s">
        <v>34</v>
      </c>
      <c r="C777">
        <v>4.9000000000000004</v>
      </c>
      <c r="D777" t="s">
        <v>35</v>
      </c>
      <c r="E777">
        <v>5.5</v>
      </c>
      <c r="F777">
        <v>1.6</v>
      </c>
      <c r="G777">
        <v>2.85</v>
      </c>
      <c r="H777">
        <v>0.4</v>
      </c>
      <c r="I777" t="s">
        <v>36</v>
      </c>
      <c r="J777">
        <v>8</v>
      </c>
      <c r="K777">
        <v>1</v>
      </c>
      <c r="L777">
        <v>8</v>
      </c>
      <c r="M777">
        <v>0</v>
      </c>
    </row>
    <row r="778" spans="1:13" x14ac:dyDescent="0.25">
      <c r="A778">
        <v>14</v>
      </c>
      <c r="B778" t="s">
        <v>37</v>
      </c>
      <c r="C778">
        <v>6.9</v>
      </c>
      <c r="D778" t="s">
        <v>38</v>
      </c>
      <c r="E778">
        <v>8</v>
      </c>
      <c r="F778">
        <v>1.6</v>
      </c>
      <c r="G778">
        <v>2.64</v>
      </c>
      <c r="H778">
        <v>0.1</v>
      </c>
      <c r="I778" t="s">
        <v>40</v>
      </c>
      <c r="J778">
        <v>3</v>
      </c>
      <c r="K778">
        <v>3</v>
      </c>
      <c r="L778">
        <v>3</v>
      </c>
      <c r="M778">
        <v>0</v>
      </c>
    </row>
    <row r="779" spans="1:13" x14ac:dyDescent="0.25">
      <c r="A779">
        <v>15</v>
      </c>
      <c r="B779" t="s">
        <v>34</v>
      </c>
      <c r="C779">
        <v>5.4</v>
      </c>
      <c r="D779" t="s">
        <v>38</v>
      </c>
      <c r="E779">
        <v>4.2</v>
      </c>
      <c r="F779">
        <v>1.8</v>
      </c>
      <c r="G779">
        <v>2.15</v>
      </c>
      <c r="H779">
        <v>0.3</v>
      </c>
      <c r="I779" t="s">
        <v>40</v>
      </c>
      <c r="J779">
        <v>1</v>
      </c>
      <c r="K779">
        <v>10</v>
      </c>
      <c r="L779">
        <v>5</v>
      </c>
      <c r="M779">
        <v>0</v>
      </c>
    </row>
    <row r="780" spans="1:13" x14ac:dyDescent="0.25">
      <c r="A780">
        <v>13</v>
      </c>
      <c r="B780" t="s">
        <v>37</v>
      </c>
      <c r="C780">
        <v>3.8</v>
      </c>
      <c r="D780" t="s">
        <v>41</v>
      </c>
      <c r="E780">
        <v>8.9</v>
      </c>
      <c r="F780">
        <v>2.5</v>
      </c>
      <c r="G780">
        <v>2.29</v>
      </c>
      <c r="H780">
        <v>0.6</v>
      </c>
      <c r="I780" t="s">
        <v>39</v>
      </c>
      <c r="J780">
        <v>9</v>
      </c>
      <c r="K780">
        <v>9</v>
      </c>
      <c r="L780">
        <v>7</v>
      </c>
      <c r="M780">
        <v>0</v>
      </c>
    </row>
    <row r="781" spans="1:13" x14ac:dyDescent="0.25">
      <c r="A781">
        <v>15</v>
      </c>
      <c r="B781" t="s">
        <v>34</v>
      </c>
      <c r="C781">
        <v>7.8</v>
      </c>
      <c r="D781" t="s">
        <v>41</v>
      </c>
      <c r="E781">
        <v>6.8</v>
      </c>
      <c r="F781">
        <v>0.6</v>
      </c>
      <c r="G781">
        <v>3.2</v>
      </c>
      <c r="H781">
        <v>1.7</v>
      </c>
      <c r="I781" t="s">
        <v>40</v>
      </c>
      <c r="J781">
        <v>1</v>
      </c>
      <c r="K781">
        <v>7</v>
      </c>
      <c r="L781">
        <v>5</v>
      </c>
      <c r="M781">
        <v>0</v>
      </c>
    </row>
    <row r="782" spans="1:13" x14ac:dyDescent="0.25">
      <c r="A782">
        <v>15</v>
      </c>
      <c r="B782" t="s">
        <v>34</v>
      </c>
      <c r="C782">
        <v>3.5</v>
      </c>
      <c r="D782" t="s">
        <v>41</v>
      </c>
      <c r="E782">
        <v>8.8000000000000007</v>
      </c>
      <c r="F782">
        <v>1.8</v>
      </c>
      <c r="G782">
        <v>3.5</v>
      </c>
      <c r="H782">
        <v>0.8</v>
      </c>
      <c r="I782" t="s">
        <v>36</v>
      </c>
      <c r="J782">
        <v>3</v>
      </c>
      <c r="K782">
        <v>6</v>
      </c>
      <c r="L782">
        <v>3</v>
      </c>
      <c r="M782">
        <v>0</v>
      </c>
    </row>
    <row r="783" spans="1:13" x14ac:dyDescent="0.25">
      <c r="A783">
        <v>19</v>
      </c>
      <c r="B783" t="s">
        <v>37</v>
      </c>
      <c r="C783">
        <v>5.4</v>
      </c>
      <c r="D783" t="s">
        <v>35</v>
      </c>
      <c r="E783">
        <v>7.3</v>
      </c>
      <c r="F783">
        <v>2</v>
      </c>
      <c r="G783">
        <v>3.98</v>
      </c>
      <c r="H783">
        <v>0.9</v>
      </c>
      <c r="I783" t="s">
        <v>40</v>
      </c>
      <c r="J783">
        <v>6</v>
      </c>
      <c r="K783">
        <v>6</v>
      </c>
      <c r="L783">
        <v>1</v>
      </c>
      <c r="M783">
        <v>0</v>
      </c>
    </row>
    <row r="784" spans="1:13" x14ac:dyDescent="0.25">
      <c r="A784">
        <v>17</v>
      </c>
      <c r="B784" t="s">
        <v>34</v>
      </c>
      <c r="C784">
        <v>3.8</v>
      </c>
      <c r="D784" t="s">
        <v>41</v>
      </c>
      <c r="E784">
        <v>5.7</v>
      </c>
      <c r="F784">
        <v>2</v>
      </c>
      <c r="G784">
        <v>3.01</v>
      </c>
      <c r="H784">
        <v>1</v>
      </c>
      <c r="I784" t="s">
        <v>36</v>
      </c>
      <c r="J784">
        <v>1</v>
      </c>
      <c r="K784">
        <v>3</v>
      </c>
      <c r="L784">
        <v>1</v>
      </c>
      <c r="M784">
        <v>0</v>
      </c>
    </row>
    <row r="785" spans="1:13" x14ac:dyDescent="0.25">
      <c r="A785">
        <v>17</v>
      </c>
      <c r="B785" t="s">
        <v>34</v>
      </c>
      <c r="C785">
        <v>8</v>
      </c>
      <c r="D785" t="s">
        <v>35</v>
      </c>
      <c r="E785">
        <v>6.9</v>
      </c>
      <c r="F785">
        <v>2.2000000000000002</v>
      </c>
      <c r="G785">
        <v>2.36</v>
      </c>
      <c r="H785">
        <v>1.6</v>
      </c>
      <c r="I785" t="s">
        <v>36</v>
      </c>
      <c r="J785">
        <v>4</v>
      </c>
      <c r="K785">
        <v>2</v>
      </c>
      <c r="L785">
        <v>8</v>
      </c>
      <c r="M785">
        <v>0</v>
      </c>
    </row>
    <row r="786" spans="1:13" x14ac:dyDescent="0.25">
      <c r="A786">
        <v>14</v>
      </c>
      <c r="B786" t="s">
        <v>37</v>
      </c>
      <c r="C786">
        <v>3.7</v>
      </c>
      <c r="D786" t="s">
        <v>38</v>
      </c>
      <c r="E786">
        <v>5.7</v>
      </c>
      <c r="F786">
        <v>1.7</v>
      </c>
      <c r="G786">
        <v>2.88</v>
      </c>
      <c r="H786">
        <v>0.2</v>
      </c>
      <c r="I786" t="s">
        <v>36</v>
      </c>
      <c r="J786">
        <v>9</v>
      </c>
      <c r="K786">
        <v>10</v>
      </c>
      <c r="L786">
        <v>3</v>
      </c>
      <c r="M786">
        <v>0</v>
      </c>
    </row>
    <row r="787" spans="1:13" x14ac:dyDescent="0.25">
      <c r="A787">
        <v>19</v>
      </c>
      <c r="B787" t="s">
        <v>37</v>
      </c>
      <c r="C787">
        <v>5</v>
      </c>
      <c r="D787" t="s">
        <v>35</v>
      </c>
      <c r="E787">
        <v>6.3</v>
      </c>
      <c r="F787">
        <v>2.9</v>
      </c>
      <c r="G787">
        <v>2.04</v>
      </c>
      <c r="H787">
        <v>0.5</v>
      </c>
      <c r="I787" t="s">
        <v>40</v>
      </c>
      <c r="J787">
        <v>5</v>
      </c>
      <c r="K787">
        <v>2</v>
      </c>
      <c r="L787">
        <v>2</v>
      </c>
      <c r="M787">
        <v>0</v>
      </c>
    </row>
    <row r="788" spans="1:13" x14ac:dyDescent="0.25">
      <c r="A788">
        <v>19</v>
      </c>
      <c r="B788" t="s">
        <v>37</v>
      </c>
      <c r="C788">
        <v>4.2</v>
      </c>
      <c r="D788" t="s">
        <v>35</v>
      </c>
      <c r="E788">
        <v>7.1</v>
      </c>
      <c r="F788">
        <v>2.5</v>
      </c>
      <c r="G788">
        <v>3.91</v>
      </c>
      <c r="H788">
        <v>1.5</v>
      </c>
      <c r="I788" t="s">
        <v>39</v>
      </c>
      <c r="J788">
        <v>6</v>
      </c>
      <c r="K788">
        <v>8</v>
      </c>
      <c r="L788">
        <v>9</v>
      </c>
      <c r="M788">
        <v>0</v>
      </c>
    </row>
    <row r="789" spans="1:13" x14ac:dyDescent="0.25">
      <c r="A789">
        <v>16</v>
      </c>
      <c r="B789" t="s">
        <v>34</v>
      </c>
      <c r="C789">
        <v>4.5999999999999996</v>
      </c>
      <c r="D789" t="s">
        <v>35</v>
      </c>
      <c r="E789">
        <v>8.1999999999999993</v>
      </c>
      <c r="F789">
        <v>1.5</v>
      </c>
      <c r="G789">
        <v>2.13</v>
      </c>
      <c r="H789">
        <v>1</v>
      </c>
      <c r="I789" t="s">
        <v>36</v>
      </c>
      <c r="J789">
        <v>3</v>
      </c>
      <c r="K789">
        <v>2</v>
      </c>
      <c r="L789">
        <v>2</v>
      </c>
      <c r="M789">
        <v>0</v>
      </c>
    </row>
    <row r="790" spans="1:13" x14ac:dyDescent="0.25">
      <c r="A790">
        <v>18</v>
      </c>
      <c r="B790" t="s">
        <v>34</v>
      </c>
      <c r="C790">
        <v>5.5</v>
      </c>
      <c r="D790" t="s">
        <v>35</v>
      </c>
      <c r="E790">
        <v>5</v>
      </c>
      <c r="F790">
        <v>0.9</v>
      </c>
      <c r="G790">
        <v>2.93</v>
      </c>
      <c r="H790">
        <v>1.1000000000000001</v>
      </c>
      <c r="I790" t="s">
        <v>36</v>
      </c>
      <c r="J790">
        <v>4</v>
      </c>
      <c r="K790">
        <v>10</v>
      </c>
      <c r="L790">
        <v>10</v>
      </c>
      <c r="M790">
        <v>0</v>
      </c>
    </row>
    <row r="791" spans="1:13" x14ac:dyDescent="0.25">
      <c r="A791">
        <v>19</v>
      </c>
      <c r="B791" t="s">
        <v>37</v>
      </c>
      <c r="C791">
        <v>1.8</v>
      </c>
      <c r="D791" t="s">
        <v>35</v>
      </c>
      <c r="E791">
        <v>4.5</v>
      </c>
      <c r="F791">
        <v>2.8</v>
      </c>
      <c r="G791">
        <v>3.22</v>
      </c>
      <c r="H791">
        <v>1.6</v>
      </c>
      <c r="I791" t="s">
        <v>40</v>
      </c>
      <c r="J791">
        <v>5</v>
      </c>
      <c r="K791">
        <v>3</v>
      </c>
      <c r="L791">
        <v>10</v>
      </c>
      <c r="M791">
        <v>0</v>
      </c>
    </row>
    <row r="792" spans="1:13" x14ac:dyDescent="0.25">
      <c r="A792">
        <v>14</v>
      </c>
      <c r="B792" t="s">
        <v>37</v>
      </c>
      <c r="C792">
        <v>6.6</v>
      </c>
      <c r="D792" t="s">
        <v>38</v>
      </c>
      <c r="E792">
        <v>6.2</v>
      </c>
      <c r="F792">
        <v>1.8</v>
      </c>
      <c r="G792">
        <v>2.36</v>
      </c>
      <c r="H792">
        <v>1.7</v>
      </c>
      <c r="I792" t="s">
        <v>39</v>
      </c>
      <c r="J792">
        <v>4</v>
      </c>
      <c r="K792">
        <v>1</v>
      </c>
      <c r="L792">
        <v>8</v>
      </c>
      <c r="M792">
        <v>0</v>
      </c>
    </row>
    <row r="793" spans="1:13" x14ac:dyDescent="0.25">
      <c r="A793">
        <v>15</v>
      </c>
      <c r="B793" t="s">
        <v>37</v>
      </c>
      <c r="C793">
        <v>4.4000000000000004</v>
      </c>
      <c r="D793" t="s">
        <v>38</v>
      </c>
      <c r="E793">
        <v>5.3</v>
      </c>
      <c r="F793">
        <v>0.9</v>
      </c>
      <c r="G793">
        <v>3.75</v>
      </c>
      <c r="H793">
        <v>0.5</v>
      </c>
      <c r="I793" t="s">
        <v>39</v>
      </c>
      <c r="J793">
        <v>10</v>
      </c>
      <c r="K793">
        <v>5</v>
      </c>
      <c r="L793">
        <v>5</v>
      </c>
      <c r="M793">
        <v>0</v>
      </c>
    </row>
    <row r="794" spans="1:13" x14ac:dyDescent="0.25">
      <c r="A794">
        <v>14</v>
      </c>
      <c r="B794" t="s">
        <v>37</v>
      </c>
      <c r="C794">
        <v>4.7</v>
      </c>
      <c r="D794" t="s">
        <v>38</v>
      </c>
      <c r="E794">
        <v>4.4000000000000004</v>
      </c>
      <c r="F794">
        <v>2.1</v>
      </c>
      <c r="G794">
        <v>3.92</v>
      </c>
      <c r="H794">
        <v>0.9</v>
      </c>
      <c r="I794" t="s">
        <v>36</v>
      </c>
      <c r="J794">
        <v>10</v>
      </c>
      <c r="K794">
        <v>1</v>
      </c>
      <c r="L794">
        <v>4</v>
      </c>
      <c r="M794">
        <v>0</v>
      </c>
    </row>
    <row r="795" spans="1:13" x14ac:dyDescent="0.25">
      <c r="A795">
        <v>18</v>
      </c>
      <c r="B795" t="s">
        <v>37</v>
      </c>
      <c r="C795">
        <v>7.1</v>
      </c>
      <c r="D795" t="s">
        <v>35</v>
      </c>
      <c r="E795">
        <v>5.7</v>
      </c>
      <c r="F795">
        <v>0.6</v>
      </c>
      <c r="G795">
        <v>2.9</v>
      </c>
      <c r="H795">
        <v>1.7</v>
      </c>
      <c r="I795" t="s">
        <v>40</v>
      </c>
      <c r="J795">
        <v>3</v>
      </c>
      <c r="K795">
        <v>1</v>
      </c>
      <c r="L795">
        <v>6</v>
      </c>
      <c r="M795">
        <v>0</v>
      </c>
    </row>
    <row r="796" spans="1:13" x14ac:dyDescent="0.25">
      <c r="A796">
        <v>17</v>
      </c>
      <c r="B796" t="s">
        <v>34</v>
      </c>
      <c r="C796">
        <v>4</v>
      </c>
      <c r="D796" t="s">
        <v>41</v>
      </c>
      <c r="E796">
        <v>8.5</v>
      </c>
      <c r="F796">
        <v>1</v>
      </c>
      <c r="G796">
        <v>2.16</v>
      </c>
      <c r="H796">
        <v>0.1</v>
      </c>
      <c r="I796" t="s">
        <v>36</v>
      </c>
      <c r="J796">
        <v>1</v>
      </c>
      <c r="K796">
        <v>7</v>
      </c>
      <c r="L796">
        <v>5</v>
      </c>
      <c r="M796">
        <v>0</v>
      </c>
    </row>
    <row r="797" spans="1:13" x14ac:dyDescent="0.25">
      <c r="A797">
        <v>18</v>
      </c>
      <c r="B797" t="s">
        <v>37</v>
      </c>
      <c r="C797">
        <v>5.5</v>
      </c>
      <c r="D797" t="s">
        <v>35</v>
      </c>
      <c r="E797">
        <v>5.3</v>
      </c>
      <c r="F797">
        <v>2.6</v>
      </c>
      <c r="G797">
        <v>3.09</v>
      </c>
      <c r="H797">
        <v>2</v>
      </c>
      <c r="I797" t="s">
        <v>36</v>
      </c>
      <c r="J797">
        <v>8</v>
      </c>
      <c r="K797">
        <v>6</v>
      </c>
      <c r="L797">
        <v>3</v>
      </c>
      <c r="M797">
        <v>0</v>
      </c>
    </row>
    <row r="798" spans="1:13" x14ac:dyDescent="0.25">
      <c r="A798">
        <v>19</v>
      </c>
      <c r="B798" t="s">
        <v>34</v>
      </c>
      <c r="C798">
        <v>5.6</v>
      </c>
      <c r="D798" t="s">
        <v>38</v>
      </c>
      <c r="E798">
        <v>6.5</v>
      </c>
      <c r="F798">
        <v>1.4</v>
      </c>
      <c r="G798">
        <v>3.19</v>
      </c>
      <c r="H798">
        <v>0</v>
      </c>
      <c r="I798" t="s">
        <v>39</v>
      </c>
      <c r="J798">
        <v>9</v>
      </c>
      <c r="K798">
        <v>9</v>
      </c>
      <c r="L798">
        <v>7</v>
      </c>
      <c r="M798">
        <v>0</v>
      </c>
    </row>
    <row r="799" spans="1:13" x14ac:dyDescent="0.25">
      <c r="A799">
        <v>14</v>
      </c>
      <c r="B799" t="s">
        <v>37</v>
      </c>
      <c r="C799">
        <v>3.7</v>
      </c>
      <c r="D799" t="s">
        <v>41</v>
      </c>
      <c r="E799">
        <v>7.1</v>
      </c>
      <c r="F799">
        <v>1.7</v>
      </c>
      <c r="G799">
        <v>2.5</v>
      </c>
      <c r="H799">
        <v>1.8</v>
      </c>
      <c r="I799" t="s">
        <v>40</v>
      </c>
      <c r="J799">
        <v>10</v>
      </c>
      <c r="K799">
        <v>4</v>
      </c>
      <c r="L799">
        <v>5</v>
      </c>
      <c r="M799">
        <v>0</v>
      </c>
    </row>
    <row r="800" spans="1:13" x14ac:dyDescent="0.25">
      <c r="A800">
        <v>16</v>
      </c>
      <c r="B800" t="s">
        <v>34</v>
      </c>
      <c r="C800">
        <v>1.8</v>
      </c>
      <c r="D800" t="s">
        <v>38</v>
      </c>
      <c r="E800">
        <v>7.4</v>
      </c>
      <c r="F800">
        <v>2.2999999999999998</v>
      </c>
      <c r="G800">
        <v>3.76</v>
      </c>
      <c r="H800">
        <v>0.8</v>
      </c>
      <c r="I800" t="s">
        <v>36</v>
      </c>
      <c r="J800">
        <v>9</v>
      </c>
      <c r="K800">
        <v>5</v>
      </c>
      <c r="L800">
        <v>8</v>
      </c>
      <c r="M800">
        <v>0</v>
      </c>
    </row>
    <row r="801" spans="1:13" x14ac:dyDescent="0.25">
      <c r="A801">
        <v>16</v>
      </c>
      <c r="B801" t="s">
        <v>37</v>
      </c>
      <c r="C801">
        <v>7.6</v>
      </c>
      <c r="D801" t="s">
        <v>38</v>
      </c>
      <c r="E801">
        <v>4.2</v>
      </c>
      <c r="F801">
        <v>2.8</v>
      </c>
      <c r="G801">
        <v>3.87</v>
      </c>
      <c r="H801">
        <v>0.7</v>
      </c>
      <c r="I801" t="s">
        <v>39</v>
      </c>
      <c r="J801">
        <v>10</v>
      </c>
      <c r="K801">
        <v>2</v>
      </c>
      <c r="L801">
        <v>9</v>
      </c>
      <c r="M801">
        <v>0</v>
      </c>
    </row>
    <row r="802" spans="1:13" x14ac:dyDescent="0.25">
      <c r="A802">
        <v>18</v>
      </c>
      <c r="B802" t="s">
        <v>34</v>
      </c>
      <c r="C802">
        <v>5.7</v>
      </c>
      <c r="D802" t="s">
        <v>38</v>
      </c>
      <c r="E802">
        <v>8</v>
      </c>
      <c r="F802">
        <v>2.5</v>
      </c>
      <c r="G802">
        <v>3.4</v>
      </c>
      <c r="H802">
        <v>0.1</v>
      </c>
      <c r="I802" t="s">
        <v>36</v>
      </c>
      <c r="J802">
        <v>5</v>
      </c>
      <c r="K802">
        <v>2</v>
      </c>
      <c r="L802">
        <v>1</v>
      </c>
      <c r="M802">
        <v>0</v>
      </c>
    </row>
    <row r="803" spans="1:13" x14ac:dyDescent="0.25">
      <c r="A803">
        <v>14</v>
      </c>
      <c r="B803" t="s">
        <v>37</v>
      </c>
      <c r="C803">
        <v>6.1</v>
      </c>
      <c r="D803" t="s">
        <v>35</v>
      </c>
      <c r="E803">
        <v>7</v>
      </c>
      <c r="F803">
        <v>2.7</v>
      </c>
      <c r="G803">
        <v>3.97</v>
      </c>
      <c r="H803">
        <v>1</v>
      </c>
      <c r="I803" t="s">
        <v>40</v>
      </c>
      <c r="J803">
        <v>1</v>
      </c>
      <c r="K803">
        <v>8</v>
      </c>
      <c r="L803">
        <v>8</v>
      </c>
      <c r="M803">
        <v>0</v>
      </c>
    </row>
    <row r="804" spans="1:13" x14ac:dyDescent="0.25">
      <c r="A804">
        <v>13</v>
      </c>
      <c r="B804" t="s">
        <v>37</v>
      </c>
      <c r="C804">
        <v>6</v>
      </c>
      <c r="D804" t="s">
        <v>35</v>
      </c>
      <c r="E804">
        <v>7.2</v>
      </c>
      <c r="F804">
        <v>0.6</v>
      </c>
      <c r="G804">
        <v>2.11</v>
      </c>
      <c r="H804">
        <v>1.1000000000000001</v>
      </c>
      <c r="I804" t="s">
        <v>36</v>
      </c>
      <c r="J804">
        <v>1</v>
      </c>
      <c r="K804">
        <v>3</v>
      </c>
      <c r="L804">
        <v>6</v>
      </c>
      <c r="M804">
        <v>0</v>
      </c>
    </row>
    <row r="805" spans="1:13" x14ac:dyDescent="0.25">
      <c r="A805">
        <v>15</v>
      </c>
      <c r="B805" t="s">
        <v>37</v>
      </c>
      <c r="C805">
        <v>3.1</v>
      </c>
      <c r="D805" t="s">
        <v>38</v>
      </c>
      <c r="E805">
        <v>4.2</v>
      </c>
      <c r="F805">
        <v>2.4</v>
      </c>
      <c r="G805">
        <v>3.41</v>
      </c>
      <c r="H805">
        <v>0.2</v>
      </c>
      <c r="I805" t="s">
        <v>36</v>
      </c>
      <c r="J805">
        <v>3</v>
      </c>
      <c r="K805">
        <v>7</v>
      </c>
      <c r="L805">
        <v>5</v>
      </c>
      <c r="M805">
        <v>0</v>
      </c>
    </row>
    <row r="806" spans="1:13" x14ac:dyDescent="0.25">
      <c r="A806">
        <v>17</v>
      </c>
      <c r="B806" t="s">
        <v>34</v>
      </c>
      <c r="C806">
        <v>7.6</v>
      </c>
      <c r="D806" t="s">
        <v>35</v>
      </c>
      <c r="E806">
        <v>6</v>
      </c>
      <c r="F806">
        <v>2</v>
      </c>
      <c r="G806">
        <v>3.82</v>
      </c>
      <c r="H806">
        <v>1.5</v>
      </c>
      <c r="I806" t="s">
        <v>36</v>
      </c>
      <c r="J806">
        <v>8</v>
      </c>
      <c r="K806">
        <v>9</v>
      </c>
      <c r="L806">
        <v>7</v>
      </c>
      <c r="M806">
        <v>0</v>
      </c>
    </row>
    <row r="807" spans="1:13" x14ac:dyDescent="0.25">
      <c r="A807">
        <v>17</v>
      </c>
      <c r="B807" t="s">
        <v>34</v>
      </c>
      <c r="C807">
        <v>6</v>
      </c>
      <c r="D807" t="s">
        <v>41</v>
      </c>
      <c r="E807">
        <v>5.3</v>
      </c>
      <c r="F807">
        <v>2.7</v>
      </c>
      <c r="G807">
        <v>3.2</v>
      </c>
      <c r="H807">
        <v>1.4</v>
      </c>
      <c r="I807" t="s">
        <v>40</v>
      </c>
      <c r="J807">
        <v>8</v>
      </c>
      <c r="K807">
        <v>2</v>
      </c>
      <c r="L807">
        <v>4</v>
      </c>
      <c r="M807">
        <v>0</v>
      </c>
    </row>
    <row r="808" spans="1:13" x14ac:dyDescent="0.25">
      <c r="A808">
        <v>13</v>
      </c>
      <c r="B808" t="s">
        <v>37</v>
      </c>
      <c r="C808">
        <v>3.5</v>
      </c>
      <c r="D808" t="s">
        <v>35</v>
      </c>
      <c r="E808">
        <v>5.3</v>
      </c>
      <c r="F808">
        <v>2.7</v>
      </c>
      <c r="G808">
        <v>3.7</v>
      </c>
      <c r="H808">
        <v>0.5</v>
      </c>
      <c r="I808" t="s">
        <v>36</v>
      </c>
      <c r="J808">
        <v>3</v>
      </c>
      <c r="K808">
        <v>7</v>
      </c>
      <c r="L808">
        <v>2</v>
      </c>
      <c r="M808">
        <v>0</v>
      </c>
    </row>
    <row r="809" spans="1:13" x14ac:dyDescent="0.25">
      <c r="A809">
        <v>14</v>
      </c>
      <c r="B809" t="s">
        <v>37</v>
      </c>
      <c r="C809">
        <v>1.3</v>
      </c>
      <c r="D809" t="s">
        <v>38</v>
      </c>
      <c r="E809">
        <v>7.5</v>
      </c>
      <c r="F809">
        <v>1.4</v>
      </c>
      <c r="G809">
        <v>3.85</v>
      </c>
      <c r="H809">
        <v>1.6</v>
      </c>
      <c r="I809" t="s">
        <v>40</v>
      </c>
      <c r="J809">
        <v>10</v>
      </c>
      <c r="K809">
        <v>8</v>
      </c>
      <c r="L809">
        <v>7</v>
      </c>
      <c r="M809">
        <v>0</v>
      </c>
    </row>
    <row r="810" spans="1:13" x14ac:dyDescent="0.25">
      <c r="A810">
        <v>18</v>
      </c>
      <c r="B810" t="s">
        <v>37</v>
      </c>
      <c r="C810">
        <v>2.8</v>
      </c>
      <c r="D810" t="s">
        <v>38</v>
      </c>
      <c r="E810">
        <v>7</v>
      </c>
      <c r="F810">
        <v>2.9</v>
      </c>
      <c r="G810">
        <v>3.91</v>
      </c>
      <c r="H810">
        <v>1.1000000000000001</v>
      </c>
      <c r="I810" t="s">
        <v>40</v>
      </c>
      <c r="J810">
        <v>9</v>
      </c>
      <c r="K810">
        <v>9</v>
      </c>
      <c r="L810">
        <v>1</v>
      </c>
      <c r="M810">
        <v>0</v>
      </c>
    </row>
    <row r="811" spans="1:13" x14ac:dyDescent="0.25">
      <c r="A811">
        <v>14</v>
      </c>
      <c r="B811" t="s">
        <v>34</v>
      </c>
      <c r="C811">
        <v>3.9</v>
      </c>
      <c r="D811" t="s">
        <v>41</v>
      </c>
      <c r="E811">
        <v>4.8</v>
      </c>
      <c r="F811">
        <v>0.8</v>
      </c>
      <c r="G811">
        <v>3.32</v>
      </c>
      <c r="H811">
        <v>0.3</v>
      </c>
      <c r="I811" t="s">
        <v>39</v>
      </c>
      <c r="J811">
        <v>5</v>
      </c>
      <c r="K811">
        <v>2</v>
      </c>
      <c r="L811">
        <v>5</v>
      </c>
      <c r="M811">
        <v>0</v>
      </c>
    </row>
    <row r="812" spans="1:13" x14ac:dyDescent="0.25">
      <c r="A812">
        <v>19</v>
      </c>
      <c r="B812" t="s">
        <v>34</v>
      </c>
      <c r="C812">
        <v>3.9</v>
      </c>
      <c r="D812" t="s">
        <v>41</v>
      </c>
      <c r="E812">
        <v>4.8</v>
      </c>
      <c r="F812">
        <v>2.8</v>
      </c>
      <c r="G812">
        <v>3.98</v>
      </c>
      <c r="H812">
        <v>1.9</v>
      </c>
      <c r="I812" t="s">
        <v>40</v>
      </c>
      <c r="J812">
        <v>7</v>
      </c>
      <c r="K812">
        <v>5</v>
      </c>
      <c r="L812">
        <v>3</v>
      </c>
      <c r="M812">
        <v>0</v>
      </c>
    </row>
    <row r="813" spans="1:13" x14ac:dyDescent="0.25">
      <c r="A813">
        <v>14</v>
      </c>
      <c r="B813" t="s">
        <v>34</v>
      </c>
      <c r="C813">
        <v>7.4</v>
      </c>
      <c r="D813" t="s">
        <v>35</v>
      </c>
      <c r="E813">
        <v>8.9</v>
      </c>
      <c r="F813">
        <v>2.4</v>
      </c>
      <c r="G813">
        <v>2.29</v>
      </c>
      <c r="H813">
        <v>1.1000000000000001</v>
      </c>
      <c r="I813" t="s">
        <v>36</v>
      </c>
      <c r="J813">
        <v>10</v>
      </c>
      <c r="K813">
        <v>4</v>
      </c>
      <c r="L813">
        <v>8</v>
      </c>
      <c r="M813">
        <v>0</v>
      </c>
    </row>
    <row r="814" spans="1:13" x14ac:dyDescent="0.25">
      <c r="A814">
        <v>19</v>
      </c>
      <c r="B814" t="s">
        <v>37</v>
      </c>
      <c r="C814">
        <v>5.4</v>
      </c>
      <c r="D814" t="s">
        <v>38</v>
      </c>
      <c r="E814">
        <v>7.4</v>
      </c>
      <c r="F814">
        <v>1.7</v>
      </c>
      <c r="G814">
        <v>2.88</v>
      </c>
      <c r="H814">
        <v>0.6</v>
      </c>
      <c r="I814" t="s">
        <v>36</v>
      </c>
      <c r="J814">
        <v>6</v>
      </c>
      <c r="K814">
        <v>10</v>
      </c>
      <c r="L814">
        <v>9</v>
      </c>
      <c r="M814">
        <v>0</v>
      </c>
    </row>
    <row r="815" spans="1:13" x14ac:dyDescent="0.25">
      <c r="A815">
        <v>19</v>
      </c>
      <c r="B815" t="s">
        <v>37</v>
      </c>
      <c r="C815">
        <v>6.6</v>
      </c>
      <c r="D815" t="s">
        <v>41</v>
      </c>
      <c r="E815">
        <v>6.8</v>
      </c>
      <c r="F815">
        <v>0.8</v>
      </c>
      <c r="G815">
        <v>2.64</v>
      </c>
      <c r="H815">
        <v>1.5</v>
      </c>
      <c r="I815" t="s">
        <v>36</v>
      </c>
      <c r="J815">
        <v>5</v>
      </c>
      <c r="K815">
        <v>4</v>
      </c>
      <c r="L815">
        <v>6</v>
      </c>
      <c r="M815">
        <v>0</v>
      </c>
    </row>
    <row r="816" spans="1:13" x14ac:dyDescent="0.25">
      <c r="A816">
        <v>17</v>
      </c>
      <c r="B816" t="s">
        <v>34</v>
      </c>
      <c r="C816">
        <v>5.9</v>
      </c>
      <c r="D816" t="s">
        <v>35</v>
      </c>
      <c r="E816">
        <v>7.4</v>
      </c>
      <c r="F816">
        <v>1.7</v>
      </c>
      <c r="G816">
        <v>2.5</v>
      </c>
      <c r="H816">
        <v>0.7</v>
      </c>
      <c r="I816" t="s">
        <v>39</v>
      </c>
      <c r="J816">
        <v>6</v>
      </c>
      <c r="K816">
        <v>7</v>
      </c>
      <c r="L816">
        <v>1</v>
      </c>
      <c r="M816">
        <v>0</v>
      </c>
    </row>
    <row r="817" spans="1:13" x14ac:dyDescent="0.25">
      <c r="A817">
        <v>17</v>
      </c>
      <c r="B817" t="s">
        <v>34</v>
      </c>
      <c r="C817">
        <v>3.3</v>
      </c>
      <c r="D817" t="s">
        <v>41</v>
      </c>
      <c r="E817">
        <v>5.2</v>
      </c>
      <c r="F817">
        <v>1.8</v>
      </c>
      <c r="G817">
        <v>2.1</v>
      </c>
      <c r="H817">
        <v>1.2</v>
      </c>
      <c r="I817" t="s">
        <v>36</v>
      </c>
      <c r="J817">
        <v>2</v>
      </c>
      <c r="K817">
        <v>3</v>
      </c>
      <c r="L817">
        <v>9</v>
      </c>
      <c r="M817">
        <v>0</v>
      </c>
    </row>
    <row r="818" spans="1:13" x14ac:dyDescent="0.25">
      <c r="A818">
        <v>15</v>
      </c>
      <c r="B818" t="s">
        <v>37</v>
      </c>
      <c r="C818">
        <v>2.8</v>
      </c>
      <c r="D818" t="s">
        <v>35</v>
      </c>
      <c r="E818">
        <v>7.7</v>
      </c>
      <c r="F818">
        <v>1</v>
      </c>
      <c r="G818">
        <v>3.73</v>
      </c>
      <c r="H818">
        <v>0.5</v>
      </c>
      <c r="I818" t="s">
        <v>40</v>
      </c>
      <c r="J818">
        <v>6</v>
      </c>
      <c r="K818">
        <v>10</v>
      </c>
      <c r="L818">
        <v>1</v>
      </c>
      <c r="M818">
        <v>0</v>
      </c>
    </row>
    <row r="819" spans="1:13" x14ac:dyDescent="0.25">
      <c r="A819">
        <v>14</v>
      </c>
      <c r="B819" t="s">
        <v>37</v>
      </c>
      <c r="C819">
        <v>7.3</v>
      </c>
      <c r="D819" t="s">
        <v>38</v>
      </c>
      <c r="E819">
        <v>8.8000000000000007</v>
      </c>
      <c r="F819">
        <v>2.5</v>
      </c>
      <c r="G819">
        <v>2.12</v>
      </c>
      <c r="H819">
        <v>0.5</v>
      </c>
      <c r="I819" t="s">
        <v>39</v>
      </c>
      <c r="J819">
        <v>10</v>
      </c>
      <c r="K819">
        <v>10</v>
      </c>
      <c r="L819">
        <v>1</v>
      </c>
      <c r="M819">
        <v>0</v>
      </c>
    </row>
    <row r="820" spans="1:13" x14ac:dyDescent="0.25">
      <c r="A820">
        <v>18</v>
      </c>
      <c r="B820" t="s">
        <v>34</v>
      </c>
      <c r="C820">
        <v>2.8</v>
      </c>
      <c r="D820" t="s">
        <v>35</v>
      </c>
      <c r="E820">
        <v>6.9</v>
      </c>
      <c r="F820">
        <v>2.2999999999999998</v>
      </c>
      <c r="G820">
        <v>3.11</v>
      </c>
      <c r="H820">
        <v>0.1</v>
      </c>
      <c r="I820" t="s">
        <v>40</v>
      </c>
      <c r="J820">
        <v>7</v>
      </c>
      <c r="K820">
        <v>1</v>
      </c>
      <c r="L820">
        <v>9</v>
      </c>
      <c r="M820">
        <v>0</v>
      </c>
    </row>
    <row r="821" spans="1:13" x14ac:dyDescent="0.25">
      <c r="A821">
        <v>18</v>
      </c>
      <c r="B821" t="s">
        <v>37</v>
      </c>
      <c r="C821">
        <v>7.2</v>
      </c>
      <c r="D821" t="s">
        <v>38</v>
      </c>
      <c r="E821">
        <v>7.7</v>
      </c>
      <c r="F821">
        <v>1.2</v>
      </c>
      <c r="G821">
        <v>3.7</v>
      </c>
      <c r="H821">
        <v>0.1</v>
      </c>
      <c r="I821" t="s">
        <v>36</v>
      </c>
      <c r="J821">
        <v>6</v>
      </c>
      <c r="K821">
        <v>3</v>
      </c>
      <c r="L821">
        <v>9</v>
      </c>
      <c r="M821">
        <v>0</v>
      </c>
    </row>
    <row r="822" spans="1:13" x14ac:dyDescent="0.25">
      <c r="A822">
        <v>19</v>
      </c>
      <c r="B822" t="s">
        <v>37</v>
      </c>
      <c r="C822">
        <v>7.1</v>
      </c>
      <c r="D822" t="s">
        <v>38</v>
      </c>
      <c r="E822">
        <v>6.3</v>
      </c>
      <c r="F822">
        <v>0.8</v>
      </c>
      <c r="G822">
        <v>3.66</v>
      </c>
      <c r="H822">
        <v>0.5</v>
      </c>
      <c r="I822" t="s">
        <v>39</v>
      </c>
      <c r="J822">
        <v>3</v>
      </c>
      <c r="K822">
        <v>7</v>
      </c>
      <c r="L822">
        <v>7</v>
      </c>
      <c r="M822">
        <v>0</v>
      </c>
    </row>
    <row r="823" spans="1:13" x14ac:dyDescent="0.25">
      <c r="A823">
        <v>13</v>
      </c>
      <c r="B823" t="s">
        <v>37</v>
      </c>
      <c r="C823">
        <v>4.3</v>
      </c>
      <c r="D823" t="s">
        <v>38</v>
      </c>
      <c r="E823">
        <v>4.4000000000000004</v>
      </c>
      <c r="F823">
        <v>0.9</v>
      </c>
      <c r="G823">
        <v>2.35</v>
      </c>
      <c r="H823">
        <v>1.5</v>
      </c>
      <c r="I823" t="s">
        <v>39</v>
      </c>
      <c r="J823">
        <v>3</v>
      </c>
      <c r="K823">
        <v>1</v>
      </c>
      <c r="L823">
        <v>7</v>
      </c>
      <c r="M823">
        <v>0</v>
      </c>
    </row>
    <row r="824" spans="1:13" x14ac:dyDescent="0.25">
      <c r="A824">
        <v>19</v>
      </c>
      <c r="B824" t="s">
        <v>34</v>
      </c>
      <c r="C824">
        <v>1.6</v>
      </c>
      <c r="D824" t="s">
        <v>41</v>
      </c>
      <c r="E824">
        <v>4.4000000000000004</v>
      </c>
      <c r="F824">
        <v>1.4</v>
      </c>
      <c r="G824">
        <v>2.0299999999999998</v>
      </c>
      <c r="H824">
        <v>1.1000000000000001</v>
      </c>
      <c r="I824" t="s">
        <v>39</v>
      </c>
      <c r="J824">
        <v>2</v>
      </c>
      <c r="K824">
        <v>9</v>
      </c>
      <c r="L824">
        <v>5</v>
      </c>
      <c r="M824">
        <v>0</v>
      </c>
    </row>
    <row r="825" spans="1:13" x14ac:dyDescent="0.25">
      <c r="A825">
        <v>19</v>
      </c>
      <c r="B825" t="s">
        <v>37</v>
      </c>
      <c r="C825">
        <v>1.4</v>
      </c>
      <c r="D825" t="s">
        <v>41</v>
      </c>
      <c r="E825">
        <v>8</v>
      </c>
      <c r="F825">
        <v>2.5</v>
      </c>
      <c r="G825">
        <v>3.54</v>
      </c>
      <c r="H825">
        <v>1.8</v>
      </c>
      <c r="I825" t="s">
        <v>36</v>
      </c>
      <c r="J825">
        <v>4</v>
      </c>
      <c r="K825">
        <v>8</v>
      </c>
      <c r="L825">
        <v>3</v>
      </c>
      <c r="M825">
        <v>0</v>
      </c>
    </row>
    <row r="826" spans="1:13" x14ac:dyDescent="0.25">
      <c r="A826">
        <v>18</v>
      </c>
      <c r="B826" t="s">
        <v>37</v>
      </c>
      <c r="C826">
        <v>3.2</v>
      </c>
      <c r="D826" t="s">
        <v>35</v>
      </c>
      <c r="E826">
        <v>6.8</v>
      </c>
      <c r="F826">
        <v>2.2999999999999998</v>
      </c>
      <c r="G826">
        <v>3.16</v>
      </c>
      <c r="H826">
        <v>1.8</v>
      </c>
      <c r="I826" t="s">
        <v>36</v>
      </c>
      <c r="J826">
        <v>4</v>
      </c>
      <c r="K826">
        <v>8</v>
      </c>
      <c r="L826">
        <v>5</v>
      </c>
      <c r="M826">
        <v>0</v>
      </c>
    </row>
    <row r="827" spans="1:13" x14ac:dyDescent="0.25">
      <c r="A827">
        <v>17</v>
      </c>
      <c r="B827" t="s">
        <v>34</v>
      </c>
      <c r="C827">
        <v>1.5</v>
      </c>
      <c r="D827" t="s">
        <v>41</v>
      </c>
      <c r="E827">
        <v>8</v>
      </c>
      <c r="F827">
        <v>0.5</v>
      </c>
      <c r="G827">
        <v>3.01</v>
      </c>
      <c r="H827">
        <v>0.4</v>
      </c>
      <c r="I827" t="s">
        <v>40</v>
      </c>
      <c r="J827">
        <v>10</v>
      </c>
      <c r="K827">
        <v>2</v>
      </c>
      <c r="L827">
        <v>3</v>
      </c>
      <c r="M827">
        <v>0</v>
      </c>
    </row>
    <row r="828" spans="1:13" x14ac:dyDescent="0.25">
      <c r="A828">
        <v>18</v>
      </c>
      <c r="B828" t="s">
        <v>34</v>
      </c>
      <c r="C828">
        <v>7.5</v>
      </c>
      <c r="D828" t="s">
        <v>38</v>
      </c>
      <c r="E828">
        <v>5.0999999999999996</v>
      </c>
      <c r="F828">
        <v>2.6</v>
      </c>
      <c r="G828">
        <v>3.82</v>
      </c>
      <c r="H828">
        <v>0.7</v>
      </c>
      <c r="I828" t="s">
        <v>36</v>
      </c>
      <c r="J828">
        <v>7</v>
      </c>
      <c r="K828">
        <v>3</v>
      </c>
      <c r="L828">
        <v>8</v>
      </c>
      <c r="M828">
        <v>0</v>
      </c>
    </row>
    <row r="829" spans="1:13" x14ac:dyDescent="0.25">
      <c r="A829">
        <v>14</v>
      </c>
      <c r="B829" t="s">
        <v>37</v>
      </c>
      <c r="C829">
        <v>3.5</v>
      </c>
      <c r="D829" t="s">
        <v>35</v>
      </c>
      <c r="E829">
        <v>4.5999999999999996</v>
      </c>
      <c r="F829">
        <v>0.7</v>
      </c>
      <c r="G829">
        <v>2.74</v>
      </c>
      <c r="H829">
        <v>1</v>
      </c>
      <c r="I829" t="s">
        <v>36</v>
      </c>
      <c r="J829">
        <v>2</v>
      </c>
      <c r="K829">
        <v>7</v>
      </c>
      <c r="L829">
        <v>8</v>
      </c>
      <c r="M829">
        <v>0</v>
      </c>
    </row>
    <row r="830" spans="1:13" x14ac:dyDescent="0.25">
      <c r="A830">
        <v>17</v>
      </c>
      <c r="B830" t="s">
        <v>34</v>
      </c>
      <c r="C830">
        <v>4.4000000000000004</v>
      </c>
      <c r="D830" t="s">
        <v>41</v>
      </c>
      <c r="E830">
        <v>8.1999999999999993</v>
      </c>
      <c r="F830">
        <v>2.7</v>
      </c>
      <c r="G830">
        <v>3.13</v>
      </c>
      <c r="H830">
        <v>0.3</v>
      </c>
      <c r="I830" t="s">
        <v>40</v>
      </c>
      <c r="J830">
        <v>3</v>
      </c>
      <c r="K830">
        <v>1</v>
      </c>
      <c r="L830">
        <v>2</v>
      </c>
      <c r="M830">
        <v>0</v>
      </c>
    </row>
    <row r="831" spans="1:13" x14ac:dyDescent="0.25">
      <c r="A831">
        <v>17</v>
      </c>
      <c r="B831" t="s">
        <v>34</v>
      </c>
      <c r="C831">
        <v>4.5999999999999996</v>
      </c>
      <c r="D831" t="s">
        <v>38</v>
      </c>
      <c r="E831">
        <v>5.0999999999999996</v>
      </c>
      <c r="F831">
        <v>2.5</v>
      </c>
      <c r="G831">
        <v>2.13</v>
      </c>
      <c r="H831">
        <v>1</v>
      </c>
      <c r="I831" t="s">
        <v>40</v>
      </c>
      <c r="J831">
        <v>2</v>
      </c>
      <c r="K831">
        <v>5</v>
      </c>
      <c r="L831">
        <v>6</v>
      </c>
      <c r="M831">
        <v>0</v>
      </c>
    </row>
    <row r="832" spans="1:13" x14ac:dyDescent="0.25">
      <c r="A832">
        <v>13</v>
      </c>
      <c r="B832" t="s">
        <v>34</v>
      </c>
      <c r="C832">
        <v>5.9</v>
      </c>
      <c r="D832" t="s">
        <v>38</v>
      </c>
      <c r="E832">
        <v>6.6</v>
      </c>
      <c r="F832">
        <v>2.6</v>
      </c>
      <c r="G832">
        <v>3.58</v>
      </c>
      <c r="H832">
        <v>1.6</v>
      </c>
      <c r="I832" t="s">
        <v>40</v>
      </c>
      <c r="J832">
        <v>7</v>
      </c>
      <c r="K832">
        <v>7</v>
      </c>
      <c r="L832">
        <v>10</v>
      </c>
      <c r="M832">
        <v>0</v>
      </c>
    </row>
    <row r="833" spans="1:13" x14ac:dyDescent="0.25">
      <c r="A833">
        <v>16</v>
      </c>
      <c r="B833" t="s">
        <v>37</v>
      </c>
      <c r="C833">
        <v>7.8</v>
      </c>
      <c r="D833" t="s">
        <v>38</v>
      </c>
      <c r="E833">
        <v>4.7</v>
      </c>
      <c r="F833">
        <v>1.1000000000000001</v>
      </c>
      <c r="G833">
        <v>3.53</v>
      </c>
      <c r="H833">
        <v>2</v>
      </c>
      <c r="I833" t="s">
        <v>40</v>
      </c>
      <c r="J833">
        <v>9</v>
      </c>
      <c r="K833">
        <v>3</v>
      </c>
      <c r="L833">
        <v>8</v>
      </c>
      <c r="M833">
        <v>0</v>
      </c>
    </row>
    <row r="834" spans="1:13" x14ac:dyDescent="0.25">
      <c r="A834">
        <v>15</v>
      </c>
      <c r="B834" t="s">
        <v>37</v>
      </c>
      <c r="C834">
        <v>4.8</v>
      </c>
      <c r="D834" t="s">
        <v>38</v>
      </c>
      <c r="E834">
        <v>7.3</v>
      </c>
      <c r="F834">
        <v>1.9</v>
      </c>
      <c r="G834">
        <v>2.76</v>
      </c>
      <c r="H834">
        <v>0.9</v>
      </c>
      <c r="I834" t="s">
        <v>39</v>
      </c>
      <c r="J834">
        <v>2</v>
      </c>
      <c r="K834">
        <v>10</v>
      </c>
      <c r="L834">
        <v>1</v>
      </c>
      <c r="M834">
        <v>0</v>
      </c>
    </row>
    <row r="835" spans="1:13" x14ac:dyDescent="0.25">
      <c r="A835">
        <v>16</v>
      </c>
      <c r="B835" t="s">
        <v>37</v>
      </c>
      <c r="C835">
        <v>7.4</v>
      </c>
      <c r="D835" t="s">
        <v>38</v>
      </c>
      <c r="E835">
        <v>4.5999999999999996</v>
      </c>
      <c r="F835">
        <v>1</v>
      </c>
      <c r="G835">
        <v>2.23</v>
      </c>
      <c r="H835">
        <v>1.1000000000000001</v>
      </c>
      <c r="I835" t="s">
        <v>36</v>
      </c>
      <c r="J835">
        <v>2</v>
      </c>
      <c r="K835">
        <v>4</v>
      </c>
      <c r="L835">
        <v>5</v>
      </c>
      <c r="M835">
        <v>0</v>
      </c>
    </row>
    <row r="836" spans="1:13" x14ac:dyDescent="0.25">
      <c r="A836">
        <v>18</v>
      </c>
      <c r="B836" t="s">
        <v>34</v>
      </c>
      <c r="C836">
        <v>2.7</v>
      </c>
      <c r="D836" t="s">
        <v>35</v>
      </c>
      <c r="E836">
        <v>7.9</v>
      </c>
      <c r="F836">
        <v>1.2</v>
      </c>
      <c r="G836">
        <v>2.75</v>
      </c>
      <c r="H836">
        <v>1.9</v>
      </c>
      <c r="I836" t="s">
        <v>40</v>
      </c>
      <c r="J836">
        <v>5</v>
      </c>
      <c r="K836">
        <v>8</v>
      </c>
      <c r="L836">
        <v>3</v>
      </c>
      <c r="M836">
        <v>0</v>
      </c>
    </row>
    <row r="837" spans="1:13" x14ac:dyDescent="0.25">
      <c r="A837">
        <v>13</v>
      </c>
      <c r="B837" t="s">
        <v>37</v>
      </c>
      <c r="C837">
        <v>5.3</v>
      </c>
      <c r="D837" t="s">
        <v>38</v>
      </c>
      <c r="E837">
        <v>6.4</v>
      </c>
      <c r="F837">
        <v>1.1000000000000001</v>
      </c>
      <c r="G837">
        <v>3.32</v>
      </c>
      <c r="H837">
        <v>1.9</v>
      </c>
      <c r="I837" t="s">
        <v>40</v>
      </c>
      <c r="J837">
        <v>8</v>
      </c>
      <c r="K837">
        <v>5</v>
      </c>
      <c r="L837">
        <v>10</v>
      </c>
      <c r="M837">
        <v>0</v>
      </c>
    </row>
    <row r="838" spans="1:13" x14ac:dyDescent="0.25">
      <c r="A838">
        <v>16</v>
      </c>
      <c r="B838" t="s">
        <v>37</v>
      </c>
      <c r="C838">
        <v>3.6</v>
      </c>
      <c r="D838" t="s">
        <v>41</v>
      </c>
      <c r="E838">
        <v>4.4000000000000004</v>
      </c>
      <c r="F838">
        <v>2.4</v>
      </c>
      <c r="G838">
        <v>2.5299999999999998</v>
      </c>
      <c r="H838">
        <v>0.7</v>
      </c>
      <c r="I838" t="s">
        <v>40</v>
      </c>
      <c r="J838">
        <v>1</v>
      </c>
      <c r="K838">
        <v>7</v>
      </c>
      <c r="L838">
        <v>5</v>
      </c>
      <c r="M838">
        <v>0</v>
      </c>
    </row>
    <row r="839" spans="1:13" x14ac:dyDescent="0.25">
      <c r="A839">
        <v>18</v>
      </c>
      <c r="B839" t="s">
        <v>34</v>
      </c>
      <c r="C839">
        <v>2.5</v>
      </c>
      <c r="D839" t="s">
        <v>41</v>
      </c>
      <c r="E839">
        <v>5.7</v>
      </c>
      <c r="F839">
        <v>2.1</v>
      </c>
      <c r="G839">
        <v>3.33</v>
      </c>
      <c r="H839">
        <v>0.6</v>
      </c>
      <c r="I839" t="s">
        <v>36</v>
      </c>
      <c r="J839">
        <v>8</v>
      </c>
      <c r="K839">
        <v>4</v>
      </c>
      <c r="L839">
        <v>6</v>
      </c>
      <c r="M839">
        <v>0</v>
      </c>
    </row>
    <row r="840" spans="1:13" x14ac:dyDescent="0.25">
      <c r="A840">
        <v>15</v>
      </c>
      <c r="B840" t="s">
        <v>34</v>
      </c>
      <c r="C840">
        <v>4.5</v>
      </c>
      <c r="D840" t="s">
        <v>41</v>
      </c>
      <c r="E840">
        <v>7</v>
      </c>
      <c r="F840">
        <v>1.5</v>
      </c>
      <c r="G840">
        <v>3.16</v>
      </c>
      <c r="H840">
        <v>1.7</v>
      </c>
      <c r="I840" t="s">
        <v>40</v>
      </c>
      <c r="J840">
        <v>4</v>
      </c>
      <c r="K840">
        <v>7</v>
      </c>
      <c r="L840">
        <v>10</v>
      </c>
      <c r="M840">
        <v>0</v>
      </c>
    </row>
    <row r="841" spans="1:13" x14ac:dyDescent="0.25">
      <c r="A841">
        <v>18</v>
      </c>
      <c r="B841" t="s">
        <v>37</v>
      </c>
      <c r="C841">
        <v>1.9</v>
      </c>
      <c r="D841" t="s">
        <v>41</v>
      </c>
      <c r="E841">
        <v>5.0999999999999996</v>
      </c>
      <c r="F841">
        <v>2.9</v>
      </c>
      <c r="G841">
        <v>2.62</v>
      </c>
      <c r="H841">
        <v>1</v>
      </c>
      <c r="I841" t="s">
        <v>36</v>
      </c>
      <c r="J841">
        <v>4</v>
      </c>
      <c r="K841">
        <v>3</v>
      </c>
      <c r="L841">
        <v>2</v>
      </c>
      <c r="M841">
        <v>0</v>
      </c>
    </row>
    <row r="842" spans="1:13" x14ac:dyDescent="0.25">
      <c r="A842">
        <v>17</v>
      </c>
      <c r="B842" t="s">
        <v>34</v>
      </c>
      <c r="C842">
        <v>3.8</v>
      </c>
      <c r="D842" t="s">
        <v>35</v>
      </c>
      <c r="E842">
        <v>7.7</v>
      </c>
      <c r="F842">
        <v>0.7</v>
      </c>
      <c r="G842">
        <v>3.45</v>
      </c>
      <c r="H842">
        <v>1</v>
      </c>
      <c r="I842" t="s">
        <v>36</v>
      </c>
      <c r="J842">
        <v>2</v>
      </c>
      <c r="K842">
        <v>8</v>
      </c>
      <c r="L842">
        <v>9</v>
      </c>
      <c r="M842">
        <v>0</v>
      </c>
    </row>
    <row r="843" spans="1:13" x14ac:dyDescent="0.25">
      <c r="A843">
        <v>18</v>
      </c>
      <c r="B843" t="s">
        <v>37</v>
      </c>
      <c r="C843">
        <v>3.9</v>
      </c>
      <c r="D843" t="s">
        <v>41</v>
      </c>
      <c r="E843">
        <v>4</v>
      </c>
      <c r="F843">
        <v>1.8</v>
      </c>
      <c r="G843">
        <v>2.19</v>
      </c>
      <c r="H843">
        <v>1.4</v>
      </c>
      <c r="I843" t="s">
        <v>39</v>
      </c>
      <c r="J843">
        <v>1</v>
      </c>
      <c r="K843">
        <v>2</v>
      </c>
      <c r="L843">
        <v>5</v>
      </c>
      <c r="M843">
        <v>0</v>
      </c>
    </row>
    <row r="844" spans="1:13" x14ac:dyDescent="0.25">
      <c r="A844">
        <v>17</v>
      </c>
      <c r="B844" t="s">
        <v>37</v>
      </c>
      <c r="C844">
        <v>1.1000000000000001</v>
      </c>
      <c r="D844" t="s">
        <v>41</v>
      </c>
      <c r="E844">
        <v>8.6999999999999993</v>
      </c>
      <c r="F844">
        <v>2.1</v>
      </c>
      <c r="G844">
        <v>3.01</v>
      </c>
      <c r="H844">
        <v>0.7</v>
      </c>
      <c r="I844" t="s">
        <v>40</v>
      </c>
      <c r="J844">
        <v>1</v>
      </c>
      <c r="K844">
        <v>1</v>
      </c>
      <c r="L844">
        <v>3</v>
      </c>
      <c r="M844">
        <v>0</v>
      </c>
    </row>
    <row r="845" spans="1:13" x14ac:dyDescent="0.25">
      <c r="A845">
        <v>15</v>
      </c>
      <c r="B845" t="s">
        <v>37</v>
      </c>
      <c r="C845">
        <v>3.9</v>
      </c>
      <c r="D845" t="s">
        <v>41</v>
      </c>
      <c r="E845">
        <v>8.6999999999999993</v>
      </c>
      <c r="F845">
        <v>1.1000000000000001</v>
      </c>
      <c r="G845">
        <v>2.82</v>
      </c>
      <c r="H845">
        <v>0.3</v>
      </c>
      <c r="I845" t="s">
        <v>39</v>
      </c>
      <c r="J845">
        <v>5</v>
      </c>
      <c r="K845">
        <v>10</v>
      </c>
      <c r="L845">
        <v>6</v>
      </c>
      <c r="M845">
        <v>0</v>
      </c>
    </row>
    <row r="846" spans="1:13" x14ac:dyDescent="0.25">
      <c r="A846">
        <v>16</v>
      </c>
      <c r="B846" t="s">
        <v>34</v>
      </c>
      <c r="C846">
        <v>8</v>
      </c>
      <c r="D846" t="s">
        <v>35</v>
      </c>
      <c r="E846">
        <v>8.1</v>
      </c>
      <c r="F846">
        <v>2.5</v>
      </c>
      <c r="G846">
        <v>2.7</v>
      </c>
      <c r="H846">
        <v>1.7</v>
      </c>
      <c r="I846" t="s">
        <v>40</v>
      </c>
      <c r="J846">
        <v>4</v>
      </c>
      <c r="K846">
        <v>5</v>
      </c>
      <c r="L846">
        <v>7</v>
      </c>
      <c r="M846">
        <v>0</v>
      </c>
    </row>
    <row r="847" spans="1:13" x14ac:dyDescent="0.25">
      <c r="A847">
        <v>14</v>
      </c>
      <c r="B847" t="s">
        <v>37</v>
      </c>
      <c r="C847">
        <v>1.2</v>
      </c>
      <c r="D847" t="s">
        <v>38</v>
      </c>
      <c r="E847">
        <v>8.5</v>
      </c>
      <c r="F847">
        <v>2.2999999999999998</v>
      </c>
      <c r="G847">
        <v>3.91</v>
      </c>
      <c r="H847">
        <v>1.8</v>
      </c>
      <c r="I847" t="s">
        <v>39</v>
      </c>
      <c r="J847">
        <v>1</v>
      </c>
      <c r="K847">
        <v>8</v>
      </c>
      <c r="L847">
        <v>1</v>
      </c>
      <c r="M847">
        <v>0</v>
      </c>
    </row>
    <row r="848" spans="1:13" x14ac:dyDescent="0.25">
      <c r="A848">
        <v>15</v>
      </c>
      <c r="B848" t="s">
        <v>34</v>
      </c>
      <c r="C848">
        <v>2.2000000000000002</v>
      </c>
      <c r="D848" t="s">
        <v>35</v>
      </c>
      <c r="E848">
        <v>6.1</v>
      </c>
      <c r="F848">
        <v>0.9</v>
      </c>
      <c r="G848">
        <v>3.81</v>
      </c>
      <c r="H848">
        <v>0.1</v>
      </c>
      <c r="I848" t="s">
        <v>39</v>
      </c>
      <c r="J848">
        <v>2</v>
      </c>
      <c r="K848">
        <v>7</v>
      </c>
      <c r="L848">
        <v>3</v>
      </c>
      <c r="M848">
        <v>0</v>
      </c>
    </row>
    <row r="849" spans="1:13" x14ac:dyDescent="0.25">
      <c r="A849">
        <v>15</v>
      </c>
      <c r="B849" t="s">
        <v>37</v>
      </c>
      <c r="C849">
        <v>4.2</v>
      </c>
      <c r="D849" t="s">
        <v>38</v>
      </c>
      <c r="E849">
        <v>6.8</v>
      </c>
      <c r="F849">
        <v>1.4</v>
      </c>
      <c r="G849">
        <v>2.0099999999999998</v>
      </c>
      <c r="H849">
        <v>1</v>
      </c>
      <c r="I849" t="s">
        <v>36</v>
      </c>
      <c r="J849">
        <v>6</v>
      </c>
      <c r="K849">
        <v>6</v>
      </c>
      <c r="L849">
        <v>4</v>
      </c>
      <c r="M849">
        <v>0</v>
      </c>
    </row>
    <row r="850" spans="1:13" x14ac:dyDescent="0.25">
      <c r="A850">
        <v>19</v>
      </c>
      <c r="B850" t="s">
        <v>34</v>
      </c>
      <c r="C850">
        <v>6</v>
      </c>
      <c r="D850" t="s">
        <v>41</v>
      </c>
      <c r="E850">
        <v>5.6</v>
      </c>
      <c r="F850">
        <v>1.1000000000000001</v>
      </c>
      <c r="G850">
        <v>2.4300000000000002</v>
      </c>
      <c r="H850">
        <v>1.7</v>
      </c>
      <c r="I850" t="s">
        <v>40</v>
      </c>
      <c r="J850">
        <v>1</v>
      </c>
      <c r="K850">
        <v>3</v>
      </c>
      <c r="L850">
        <v>3</v>
      </c>
      <c r="M850">
        <v>0</v>
      </c>
    </row>
    <row r="851" spans="1:13" x14ac:dyDescent="0.25">
      <c r="A851">
        <v>19</v>
      </c>
      <c r="B851" t="s">
        <v>34</v>
      </c>
      <c r="C851">
        <v>5.4</v>
      </c>
      <c r="D851" t="s">
        <v>35</v>
      </c>
      <c r="E851">
        <v>4.9000000000000004</v>
      </c>
      <c r="F851">
        <v>0.6</v>
      </c>
      <c r="G851">
        <v>3.17</v>
      </c>
      <c r="H851">
        <v>0</v>
      </c>
      <c r="I851" t="s">
        <v>36</v>
      </c>
      <c r="J851">
        <v>5</v>
      </c>
      <c r="K851">
        <v>6</v>
      </c>
      <c r="L851">
        <v>10</v>
      </c>
      <c r="M851">
        <v>0</v>
      </c>
    </row>
    <row r="852" spans="1:13" x14ac:dyDescent="0.25">
      <c r="A852">
        <v>15</v>
      </c>
      <c r="B852" t="s">
        <v>37</v>
      </c>
      <c r="C852">
        <v>2.7</v>
      </c>
      <c r="D852" t="s">
        <v>38</v>
      </c>
      <c r="E852">
        <v>7.6</v>
      </c>
      <c r="F852">
        <v>2.5</v>
      </c>
      <c r="G852">
        <v>2.37</v>
      </c>
      <c r="H852">
        <v>1.9</v>
      </c>
      <c r="I852" t="s">
        <v>39</v>
      </c>
      <c r="J852">
        <v>1</v>
      </c>
      <c r="K852">
        <v>8</v>
      </c>
      <c r="L852">
        <v>7</v>
      </c>
      <c r="M852">
        <v>0</v>
      </c>
    </row>
    <row r="853" spans="1:13" x14ac:dyDescent="0.25">
      <c r="A853">
        <v>19</v>
      </c>
      <c r="B853" t="s">
        <v>37</v>
      </c>
      <c r="C853">
        <v>1.9</v>
      </c>
      <c r="D853" t="s">
        <v>41</v>
      </c>
      <c r="E853">
        <v>6.2</v>
      </c>
      <c r="F853">
        <v>0.9</v>
      </c>
      <c r="G853">
        <v>2.4700000000000002</v>
      </c>
      <c r="H853">
        <v>1.4</v>
      </c>
      <c r="I853" t="s">
        <v>36</v>
      </c>
      <c r="J853">
        <v>5</v>
      </c>
      <c r="K853">
        <v>6</v>
      </c>
      <c r="L853">
        <v>7</v>
      </c>
      <c r="M853">
        <v>0</v>
      </c>
    </row>
    <row r="854" spans="1:13" x14ac:dyDescent="0.25">
      <c r="A854">
        <v>14</v>
      </c>
      <c r="B854" t="s">
        <v>34</v>
      </c>
      <c r="C854">
        <v>1.5</v>
      </c>
      <c r="D854" t="s">
        <v>41</v>
      </c>
      <c r="E854">
        <v>6.8</v>
      </c>
      <c r="F854">
        <v>0.8</v>
      </c>
      <c r="G854">
        <v>3.14</v>
      </c>
      <c r="H854">
        <v>0</v>
      </c>
      <c r="I854" t="s">
        <v>40</v>
      </c>
      <c r="J854">
        <v>4</v>
      </c>
      <c r="K854">
        <v>5</v>
      </c>
      <c r="L854">
        <v>8</v>
      </c>
      <c r="M854">
        <v>0</v>
      </c>
    </row>
    <row r="855" spans="1:13" x14ac:dyDescent="0.25">
      <c r="A855">
        <v>17</v>
      </c>
      <c r="B855" t="s">
        <v>37</v>
      </c>
      <c r="C855">
        <v>2.6</v>
      </c>
      <c r="D855" t="s">
        <v>38</v>
      </c>
      <c r="E855">
        <v>4.8</v>
      </c>
      <c r="F855">
        <v>0.7</v>
      </c>
      <c r="G855">
        <v>2.52</v>
      </c>
      <c r="H855">
        <v>1.8</v>
      </c>
      <c r="I855" t="s">
        <v>40</v>
      </c>
      <c r="J855">
        <v>9</v>
      </c>
      <c r="K855">
        <v>6</v>
      </c>
      <c r="L855">
        <v>6</v>
      </c>
      <c r="M855">
        <v>0</v>
      </c>
    </row>
    <row r="856" spans="1:13" x14ac:dyDescent="0.25">
      <c r="A856">
        <v>16</v>
      </c>
      <c r="B856" t="s">
        <v>34</v>
      </c>
      <c r="C856">
        <v>1.2</v>
      </c>
      <c r="D856" t="s">
        <v>35</v>
      </c>
      <c r="E856">
        <v>7.3</v>
      </c>
      <c r="F856">
        <v>1</v>
      </c>
      <c r="G856">
        <v>2.36</v>
      </c>
      <c r="H856">
        <v>1.1000000000000001</v>
      </c>
      <c r="I856" t="s">
        <v>40</v>
      </c>
      <c r="J856">
        <v>5</v>
      </c>
      <c r="K856">
        <v>3</v>
      </c>
      <c r="L856">
        <v>6</v>
      </c>
      <c r="M856">
        <v>0</v>
      </c>
    </row>
    <row r="857" spans="1:13" x14ac:dyDescent="0.25">
      <c r="A857">
        <v>18</v>
      </c>
      <c r="B857" t="s">
        <v>37</v>
      </c>
      <c r="C857">
        <v>1.8</v>
      </c>
      <c r="D857" t="s">
        <v>41</v>
      </c>
      <c r="E857">
        <v>7.8</v>
      </c>
      <c r="F857">
        <v>2</v>
      </c>
      <c r="G857">
        <v>2.67</v>
      </c>
      <c r="H857">
        <v>0.8</v>
      </c>
      <c r="I857" t="s">
        <v>36</v>
      </c>
      <c r="J857">
        <v>4</v>
      </c>
      <c r="K857">
        <v>6</v>
      </c>
      <c r="L857">
        <v>3</v>
      </c>
      <c r="M857">
        <v>0</v>
      </c>
    </row>
    <row r="858" spans="1:13" x14ac:dyDescent="0.25">
      <c r="A858">
        <v>19</v>
      </c>
      <c r="B858" t="s">
        <v>34</v>
      </c>
      <c r="C858">
        <v>4.8</v>
      </c>
      <c r="D858" t="s">
        <v>41</v>
      </c>
      <c r="E858">
        <v>7.5</v>
      </c>
      <c r="F858">
        <v>1</v>
      </c>
      <c r="G858">
        <v>2.68</v>
      </c>
      <c r="H858">
        <v>1.5</v>
      </c>
      <c r="I858" t="s">
        <v>36</v>
      </c>
      <c r="J858">
        <v>9</v>
      </c>
      <c r="K858">
        <v>4</v>
      </c>
      <c r="L858">
        <v>6</v>
      </c>
      <c r="M858">
        <v>0</v>
      </c>
    </row>
    <row r="859" spans="1:13" x14ac:dyDescent="0.25">
      <c r="A859">
        <v>19</v>
      </c>
      <c r="B859" t="s">
        <v>34</v>
      </c>
      <c r="C859">
        <v>2.1</v>
      </c>
      <c r="D859" t="s">
        <v>41</v>
      </c>
      <c r="E859">
        <v>5.6</v>
      </c>
      <c r="F859">
        <v>2.4</v>
      </c>
      <c r="G859">
        <v>3.56</v>
      </c>
      <c r="H859">
        <v>1</v>
      </c>
      <c r="I859" t="s">
        <v>39</v>
      </c>
      <c r="J859">
        <v>9</v>
      </c>
      <c r="K859">
        <v>3</v>
      </c>
      <c r="L859">
        <v>4</v>
      </c>
      <c r="M859">
        <v>0</v>
      </c>
    </row>
    <row r="860" spans="1:13" x14ac:dyDescent="0.25">
      <c r="A860">
        <v>15</v>
      </c>
      <c r="B860" t="s">
        <v>34</v>
      </c>
      <c r="C860">
        <v>4.4000000000000004</v>
      </c>
      <c r="D860" t="s">
        <v>35</v>
      </c>
      <c r="E860">
        <v>6</v>
      </c>
      <c r="F860">
        <v>0.5</v>
      </c>
      <c r="G860">
        <v>3.33</v>
      </c>
      <c r="H860">
        <v>0.7</v>
      </c>
      <c r="I860" t="s">
        <v>40</v>
      </c>
      <c r="J860">
        <v>1</v>
      </c>
      <c r="K860">
        <v>6</v>
      </c>
      <c r="L860">
        <v>10</v>
      </c>
      <c r="M860">
        <v>0</v>
      </c>
    </row>
    <row r="861" spans="1:13" x14ac:dyDescent="0.25">
      <c r="A861">
        <v>14</v>
      </c>
      <c r="B861" t="s">
        <v>34</v>
      </c>
      <c r="C861">
        <v>2.8</v>
      </c>
      <c r="D861" t="s">
        <v>41</v>
      </c>
      <c r="E861">
        <v>4.3</v>
      </c>
      <c r="F861">
        <v>3</v>
      </c>
      <c r="G861">
        <v>2.14</v>
      </c>
      <c r="H861">
        <v>1.9</v>
      </c>
      <c r="I861" t="s">
        <v>40</v>
      </c>
      <c r="J861">
        <v>9</v>
      </c>
      <c r="K861">
        <v>3</v>
      </c>
      <c r="L861">
        <v>7</v>
      </c>
      <c r="M861">
        <v>0</v>
      </c>
    </row>
    <row r="862" spans="1:13" x14ac:dyDescent="0.25">
      <c r="A862">
        <v>15</v>
      </c>
      <c r="B862" t="s">
        <v>34</v>
      </c>
      <c r="C862">
        <v>3.5</v>
      </c>
      <c r="D862" t="s">
        <v>38</v>
      </c>
      <c r="E862">
        <v>4.5</v>
      </c>
      <c r="F862">
        <v>2.7</v>
      </c>
      <c r="G862">
        <v>2.4700000000000002</v>
      </c>
      <c r="H862">
        <v>1.4</v>
      </c>
      <c r="I862" t="s">
        <v>36</v>
      </c>
      <c r="J862">
        <v>1</v>
      </c>
      <c r="K862">
        <v>5</v>
      </c>
      <c r="L862">
        <v>10</v>
      </c>
      <c r="M862">
        <v>0</v>
      </c>
    </row>
    <row r="863" spans="1:13" x14ac:dyDescent="0.25">
      <c r="A863">
        <v>15</v>
      </c>
      <c r="B863" t="s">
        <v>34</v>
      </c>
      <c r="C863">
        <v>6.8</v>
      </c>
      <c r="D863" t="s">
        <v>41</v>
      </c>
      <c r="E863">
        <v>6.6</v>
      </c>
      <c r="F863">
        <v>2.1</v>
      </c>
      <c r="G863">
        <v>3.43</v>
      </c>
      <c r="H863">
        <v>1.7</v>
      </c>
      <c r="I863" t="s">
        <v>36</v>
      </c>
      <c r="J863">
        <v>10</v>
      </c>
      <c r="K863">
        <v>10</v>
      </c>
      <c r="L863">
        <v>8</v>
      </c>
      <c r="M863">
        <v>0</v>
      </c>
    </row>
    <row r="864" spans="1:13" x14ac:dyDescent="0.25">
      <c r="A864">
        <v>14</v>
      </c>
      <c r="B864" t="s">
        <v>34</v>
      </c>
      <c r="C864">
        <v>7</v>
      </c>
      <c r="D864" t="s">
        <v>35</v>
      </c>
      <c r="E864">
        <v>5.2</v>
      </c>
      <c r="F864">
        <v>1.4</v>
      </c>
      <c r="G864">
        <v>3.27</v>
      </c>
      <c r="H864">
        <v>1.7</v>
      </c>
      <c r="I864" t="s">
        <v>40</v>
      </c>
      <c r="J864">
        <v>5</v>
      </c>
      <c r="K864">
        <v>7</v>
      </c>
      <c r="L864">
        <v>8</v>
      </c>
      <c r="M864">
        <v>0</v>
      </c>
    </row>
    <row r="865" spans="1:13" x14ac:dyDescent="0.25">
      <c r="A865">
        <v>17</v>
      </c>
      <c r="B865" t="s">
        <v>37</v>
      </c>
      <c r="C865">
        <v>7.5</v>
      </c>
      <c r="D865" t="s">
        <v>41</v>
      </c>
      <c r="E865">
        <v>8.1</v>
      </c>
      <c r="F865">
        <v>2.8</v>
      </c>
      <c r="G865">
        <v>2.58</v>
      </c>
      <c r="H865">
        <v>0.5</v>
      </c>
      <c r="I865" t="s">
        <v>40</v>
      </c>
      <c r="J865">
        <v>2</v>
      </c>
      <c r="K865">
        <v>2</v>
      </c>
      <c r="L865">
        <v>3</v>
      </c>
      <c r="M865">
        <v>0</v>
      </c>
    </row>
    <row r="866" spans="1:13" x14ac:dyDescent="0.25">
      <c r="A866">
        <v>17</v>
      </c>
      <c r="B866" t="s">
        <v>37</v>
      </c>
      <c r="C866">
        <v>2.5</v>
      </c>
      <c r="D866" t="s">
        <v>35</v>
      </c>
      <c r="E866">
        <v>4.4000000000000004</v>
      </c>
      <c r="F866">
        <v>2</v>
      </c>
      <c r="G866">
        <v>3.29</v>
      </c>
      <c r="H866">
        <v>0.7</v>
      </c>
      <c r="I866" t="s">
        <v>36</v>
      </c>
      <c r="J866">
        <v>4</v>
      </c>
      <c r="K866">
        <v>6</v>
      </c>
      <c r="L866">
        <v>5</v>
      </c>
      <c r="M866">
        <v>0</v>
      </c>
    </row>
    <row r="867" spans="1:13" x14ac:dyDescent="0.25">
      <c r="A867">
        <v>15</v>
      </c>
      <c r="B867" t="s">
        <v>34</v>
      </c>
      <c r="C867">
        <v>6.5</v>
      </c>
      <c r="D867" t="s">
        <v>38</v>
      </c>
      <c r="E867">
        <v>5.4</v>
      </c>
      <c r="F867">
        <v>2.1</v>
      </c>
      <c r="G867">
        <v>3.44</v>
      </c>
      <c r="H867">
        <v>1.8</v>
      </c>
      <c r="I867" t="s">
        <v>36</v>
      </c>
      <c r="J867">
        <v>7</v>
      </c>
      <c r="K867">
        <v>3</v>
      </c>
      <c r="L867">
        <v>6</v>
      </c>
      <c r="M867">
        <v>0</v>
      </c>
    </row>
    <row r="868" spans="1:13" x14ac:dyDescent="0.25">
      <c r="A868">
        <v>13</v>
      </c>
      <c r="B868" t="s">
        <v>34</v>
      </c>
      <c r="C868">
        <v>7.7</v>
      </c>
      <c r="D868" t="s">
        <v>35</v>
      </c>
      <c r="E868">
        <v>4.4000000000000004</v>
      </c>
      <c r="F868">
        <v>2</v>
      </c>
      <c r="G868">
        <v>3.09</v>
      </c>
      <c r="H868">
        <v>1</v>
      </c>
      <c r="I868" t="s">
        <v>39</v>
      </c>
      <c r="J868">
        <v>8</v>
      </c>
      <c r="K868">
        <v>7</v>
      </c>
      <c r="L868">
        <v>8</v>
      </c>
      <c r="M868">
        <v>1</v>
      </c>
    </row>
    <row r="869" spans="1:13" x14ac:dyDescent="0.25">
      <c r="A869">
        <v>18</v>
      </c>
      <c r="B869" t="s">
        <v>37</v>
      </c>
      <c r="C869">
        <v>3.2</v>
      </c>
      <c r="D869" t="s">
        <v>41</v>
      </c>
      <c r="E869">
        <v>7.8</v>
      </c>
      <c r="F869">
        <v>0.7</v>
      </c>
      <c r="G869">
        <v>3.46</v>
      </c>
      <c r="H869">
        <v>1.3</v>
      </c>
      <c r="I869" t="s">
        <v>36</v>
      </c>
      <c r="J869">
        <v>5</v>
      </c>
      <c r="K869">
        <v>10</v>
      </c>
      <c r="L869">
        <v>6</v>
      </c>
      <c r="M869">
        <v>0</v>
      </c>
    </row>
    <row r="870" spans="1:13" x14ac:dyDescent="0.25">
      <c r="A870">
        <v>16</v>
      </c>
      <c r="B870" t="s">
        <v>37</v>
      </c>
      <c r="C870">
        <v>5.3</v>
      </c>
      <c r="D870" t="s">
        <v>38</v>
      </c>
      <c r="E870">
        <v>4.3</v>
      </c>
      <c r="F870">
        <v>1.5</v>
      </c>
      <c r="G870">
        <v>2.54</v>
      </c>
      <c r="H870">
        <v>0.3</v>
      </c>
      <c r="I870" t="s">
        <v>39</v>
      </c>
      <c r="J870">
        <v>7</v>
      </c>
      <c r="K870">
        <v>7</v>
      </c>
      <c r="L870">
        <v>10</v>
      </c>
      <c r="M870">
        <v>1</v>
      </c>
    </row>
    <row r="871" spans="1:13" x14ac:dyDescent="0.25">
      <c r="A871">
        <v>14</v>
      </c>
      <c r="B871" t="s">
        <v>34</v>
      </c>
      <c r="C871">
        <v>5</v>
      </c>
      <c r="D871" t="s">
        <v>38</v>
      </c>
      <c r="E871">
        <v>5.2</v>
      </c>
      <c r="F871">
        <v>0.5</v>
      </c>
      <c r="G871">
        <v>3.55</v>
      </c>
      <c r="H871">
        <v>0.4</v>
      </c>
      <c r="I871" t="s">
        <v>36</v>
      </c>
      <c r="J871">
        <v>10</v>
      </c>
      <c r="K871">
        <v>6</v>
      </c>
      <c r="L871">
        <v>8</v>
      </c>
      <c r="M871">
        <v>0</v>
      </c>
    </row>
    <row r="872" spans="1:13" x14ac:dyDescent="0.25">
      <c r="A872">
        <v>19</v>
      </c>
      <c r="B872" t="s">
        <v>34</v>
      </c>
      <c r="C872">
        <v>6.1</v>
      </c>
      <c r="D872" t="s">
        <v>35</v>
      </c>
      <c r="E872">
        <v>7.1</v>
      </c>
      <c r="F872">
        <v>2.2999999999999998</v>
      </c>
      <c r="G872">
        <v>3.22</v>
      </c>
      <c r="H872">
        <v>0.5</v>
      </c>
      <c r="I872" t="s">
        <v>36</v>
      </c>
      <c r="J872">
        <v>4</v>
      </c>
      <c r="K872">
        <v>3</v>
      </c>
      <c r="L872">
        <v>7</v>
      </c>
      <c r="M872">
        <v>0</v>
      </c>
    </row>
    <row r="873" spans="1:13" x14ac:dyDescent="0.25">
      <c r="A873">
        <v>17</v>
      </c>
      <c r="B873" t="s">
        <v>34</v>
      </c>
      <c r="C873">
        <v>4.2</v>
      </c>
      <c r="D873" t="s">
        <v>38</v>
      </c>
      <c r="E873">
        <v>7.3</v>
      </c>
      <c r="F873">
        <v>2.6</v>
      </c>
      <c r="G873">
        <v>3.2</v>
      </c>
      <c r="H873">
        <v>0.2</v>
      </c>
      <c r="I873" t="s">
        <v>39</v>
      </c>
      <c r="J873">
        <v>7</v>
      </c>
      <c r="K873">
        <v>1</v>
      </c>
      <c r="L873">
        <v>3</v>
      </c>
      <c r="M873">
        <v>0</v>
      </c>
    </row>
    <row r="874" spans="1:13" x14ac:dyDescent="0.25">
      <c r="A874">
        <v>15</v>
      </c>
      <c r="B874" t="s">
        <v>34</v>
      </c>
      <c r="C874">
        <v>4.7</v>
      </c>
      <c r="D874" t="s">
        <v>35</v>
      </c>
      <c r="E874">
        <v>8.1999999999999993</v>
      </c>
      <c r="F874">
        <v>2.2999999999999998</v>
      </c>
      <c r="G874">
        <v>3.35</v>
      </c>
      <c r="H874">
        <v>0.6</v>
      </c>
      <c r="I874" t="s">
        <v>36</v>
      </c>
      <c r="J874">
        <v>6</v>
      </c>
      <c r="K874">
        <v>2</v>
      </c>
      <c r="L874">
        <v>5</v>
      </c>
      <c r="M874">
        <v>0</v>
      </c>
    </row>
    <row r="875" spans="1:13" x14ac:dyDescent="0.25">
      <c r="A875">
        <v>18</v>
      </c>
      <c r="B875" t="s">
        <v>34</v>
      </c>
      <c r="C875">
        <v>1.6</v>
      </c>
      <c r="D875" t="s">
        <v>38</v>
      </c>
      <c r="E875">
        <v>5.8</v>
      </c>
      <c r="F875">
        <v>0.6</v>
      </c>
      <c r="G875">
        <v>3.63</v>
      </c>
      <c r="H875">
        <v>1.1000000000000001</v>
      </c>
      <c r="I875" t="s">
        <v>39</v>
      </c>
      <c r="J875">
        <v>6</v>
      </c>
      <c r="K875">
        <v>9</v>
      </c>
      <c r="L875">
        <v>7</v>
      </c>
      <c r="M875">
        <v>0</v>
      </c>
    </row>
    <row r="876" spans="1:13" x14ac:dyDescent="0.25">
      <c r="A876">
        <v>14</v>
      </c>
      <c r="B876" t="s">
        <v>37</v>
      </c>
      <c r="C876">
        <v>1.7</v>
      </c>
      <c r="D876" t="s">
        <v>38</v>
      </c>
      <c r="E876">
        <v>6.5</v>
      </c>
      <c r="F876">
        <v>2.7</v>
      </c>
      <c r="G876">
        <v>2.06</v>
      </c>
      <c r="H876">
        <v>0.1</v>
      </c>
      <c r="I876" t="s">
        <v>40</v>
      </c>
      <c r="J876">
        <v>9</v>
      </c>
      <c r="K876">
        <v>5</v>
      </c>
      <c r="L876">
        <v>9</v>
      </c>
      <c r="M876">
        <v>0</v>
      </c>
    </row>
    <row r="877" spans="1:13" x14ac:dyDescent="0.25">
      <c r="A877">
        <v>18</v>
      </c>
      <c r="B877" t="s">
        <v>34</v>
      </c>
      <c r="C877">
        <v>4.5999999999999996</v>
      </c>
      <c r="D877" t="s">
        <v>35</v>
      </c>
      <c r="E877">
        <v>4.0999999999999996</v>
      </c>
      <c r="F877">
        <v>1.4</v>
      </c>
      <c r="G877">
        <v>2.2799999999999998</v>
      </c>
      <c r="H877">
        <v>0.4</v>
      </c>
      <c r="I877" t="s">
        <v>40</v>
      </c>
      <c r="J877">
        <v>4</v>
      </c>
      <c r="K877">
        <v>10</v>
      </c>
      <c r="L877">
        <v>10</v>
      </c>
      <c r="M877">
        <v>0</v>
      </c>
    </row>
    <row r="878" spans="1:13" x14ac:dyDescent="0.25">
      <c r="A878">
        <v>13</v>
      </c>
      <c r="B878" t="s">
        <v>37</v>
      </c>
      <c r="C878">
        <v>2.5</v>
      </c>
      <c r="D878" t="s">
        <v>38</v>
      </c>
      <c r="E878">
        <v>6.8</v>
      </c>
      <c r="F878">
        <v>2.8</v>
      </c>
      <c r="G878">
        <v>2.77</v>
      </c>
      <c r="H878">
        <v>0.5</v>
      </c>
      <c r="I878" t="s">
        <v>36</v>
      </c>
      <c r="J878">
        <v>2</v>
      </c>
      <c r="K878">
        <v>6</v>
      </c>
      <c r="L878">
        <v>10</v>
      </c>
      <c r="M878">
        <v>0</v>
      </c>
    </row>
    <row r="879" spans="1:13" x14ac:dyDescent="0.25">
      <c r="A879">
        <v>16</v>
      </c>
      <c r="B879" t="s">
        <v>37</v>
      </c>
      <c r="C879">
        <v>4.2</v>
      </c>
      <c r="D879" t="s">
        <v>38</v>
      </c>
      <c r="E879">
        <v>6.3</v>
      </c>
      <c r="F879">
        <v>1.2</v>
      </c>
      <c r="G879">
        <v>3.72</v>
      </c>
      <c r="H879">
        <v>1.9</v>
      </c>
      <c r="I879" t="s">
        <v>36</v>
      </c>
      <c r="J879">
        <v>5</v>
      </c>
      <c r="K879">
        <v>3</v>
      </c>
      <c r="L879">
        <v>7</v>
      </c>
      <c r="M879">
        <v>0</v>
      </c>
    </row>
    <row r="880" spans="1:13" x14ac:dyDescent="0.25">
      <c r="A880">
        <v>19</v>
      </c>
      <c r="B880" t="s">
        <v>37</v>
      </c>
      <c r="C880">
        <v>1.2</v>
      </c>
      <c r="D880" t="s">
        <v>38</v>
      </c>
      <c r="E880">
        <v>4.8</v>
      </c>
      <c r="F880">
        <v>1.7</v>
      </c>
      <c r="G880">
        <v>2.16</v>
      </c>
      <c r="H880">
        <v>0.6</v>
      </c>
      <c r="I880" t="s">
        <v>40</v>
      </c>
      <c r="J880">
        <v>10</v>
      </c>
      <c r="K880">
        <v>10</v>
      </c>
      <c r="L880">
        <v>10</v>
      </c>
      <c r="M880">
        <v>0</v>
      </c>
    </row>
    <row r="881" spans="1:13" x14ac:dyDescent="0.25">
      <c r="A881">
        <v>15</v>
      </c>
      <c r="B881" t="s">
        <v>34</v>
      </c>
      <c r="C881">
        <v>2.7</v>
      </c>
      <c r="D881" t="s">
        <v>35</v>
      </c>
      <c r="E881">
        <v>7.2</v>
      </c>
      <c r="F881">
        <v>2.9</v>
      </c>
      <c r="G881">
        <v>3.27</v>
      </c>
      <c r="H881">
        <v>0.8</v>
      </c>
      <c r="I881" t="s">
        <v>40</v>
      </c>
      <c r="J881">
        <v>5</v>
      </c>
      <c r="K881">
        <v>2</v>
      </c>
      <c r="L881">
        <v>9</v>
      </c>
      <c r="M881">
        <v>0</v>
      </c>
    </row>
    <row r="882" spans="1:13" x14ac:dyDescent="0.25">
      <c r="A882">
        <v>13</v>
      </c>
      <c r="B882" t="s">
        <v>34</v>
      </c>
      <c r="C882">
        <v>1.5</v>
      </c>
      <c r="D882" t="s">
        <v>41</v>
      </c>
      <c r="E882">
        <v>5.2</v>
      </c>
      <c r="F882">
        <v>0.8</v>
      </c>
      <c r="G882">
        <v>2.16</v>
      </c>
      <c r="H882">
        <v>0.9</v>
      </c>
      <c r="I882" t="s">
        <v>40</v>
      </c>
      <c r="J882">
        <v>10</v>
      </c>
      <c r="K882">
        <v>6</v>
      </c>
      <c r="L882">
        <v>8</v>
      </c>
      <c r="M882">
        <v>0</v>
      </c>
    </row>
    <row r="883" spans="1:13" x14ac:dyDescent="0.25">
      <c r="A883">
        <v>15</v>
      </c>
      <c r="B883" t="s">
        <v>34</v>
      </c>
      <c r="C883">
        <v>3.2</v>
      </c>
      <c r="D883" t="s">
        <v>35</v>
      </c>
      <c r="E883">
        <v>5.6</v>
      </c>
      <c r="F883">
        <v>0.7</v>
      </c>
      <c r="G883">
        <v>3.1</v>
      </c>
      <c r="H883">
        <v>1.5</v>
      </c>
      <c r="I883" t="s">
        <v>39</v>
      </c>
      <c r="J883">
        <v>6</v>
      </c>
      <c r="K883">
        <v>3</v>
      </c>
      <c r="L883">
        <v>1</v>
      </c>
      <c r="M883">
        <v>0</v>
      </c>
    </row>
    <row r="884" spans="1:13" x14ac:dyDescent="0.25">
      <c r="A884">
        <v>19</v>
      </c>
      <c r="B884" t="s">
        <v>37</v>
      </c>
      <c r="C884">
        <v>7.3</v>
      </c>
      <c r="D884" t="s">
        <v>41</v>
      </c>
      <c r="E884">
        <v>7.4</v>
      </c>
      <c r="F884">
        <v>1.5</v>
      </c>
      <c r="G884">
        <v>2.84</v>
      </c>
      <c r="H884">
        <v>1</v>
      </c>
      <c r="I884" t="s">
        <v>40</v>
      </c>
      <c r="J884">
        <v>9</v>
      </c>
      <c r="K884">
        <v>8</v>
      </c>
      <c r="L884">
        <v>5</v>
      </c>
      <c r="M884">
        <v>0</v>
      </c>
    </row>
    <row r="885" spans="1:13" x14ac:dyDescent="0.25">
      <c r="A885">
        <v>16</v>
      </c>
      <c r="B885" t="s">
        <v>34</v>
      </c>
      <c r="C885">
        <v>2</v>
      </c>
      <c r="D885" t="s">
        <v>35</v>
      </c>
      <c r="E885">
        <v>8.1999999999999993</v>
      </c>
      <c r="F885">
        <v>1</v>
      </c>
      <c r="G885">
        <v>3.15</v>
      </c>
      <c r="H885">
        <v>0.9</v>
      </c>
      <c r="I885" t="s">
        <v>40</v>
      </c>
      <c r="J885">
        <v>9</v>
      </c>
      <c r="K885">
        <v>7</v>
      </c>
      <c r="L885">
        <v>10</v>
      </c>
      <c r="M885">
        <v>0</v>
      </c>
    </row>
    <row r="886" spans="1:13" x14ac:dyDescent="0.25">
      <c r="A886">
        <v>19</v>
      </c>
      <c r="B886" t="s">
        <v>34</v>
      </c>
      <c r="C886">
        <v>2.5</v>
      </c>
      <c r="D886" t="s">
        <v>38</v>
      </c>
      <c r="E886">
        <v>7.1</v>
      </c>
      <c r="F886">
        <v>1.9</v>
      </c>
      <c r="G886">
        <v>2.35</v>
      </c>
      <c r="H886">
        <v>1.1000000000000001</v>
      </c>
      <c r="I886" t="s">
        <v>36</v>
      </c>
      <c r="J886">
        <v>4</v>
      </c>
      <c r="K886">
        <v>4</v>
      </c>
      <c r="L886">
        <v>8</v>
      </c>
      <c r="M886">
        <v>0</v>
      </c>
    </row>
    <row r="887" spans="1:13" x14ac:dyDescent="0.25">
      <c r="A887">
        <v>16</v>
      </c>
      <c r="B887" t="s">
        <v>37</v>
      </c>
      <c r="C887">
        <v>7.7</v>
      </c>
      <c r="D887" t="s">
        <v>35</v>
      </c>
      <c r="E887">
        <v>4.7</v>
      </c>
      <c r="F887">
        <v>2.9</v>
      </c>
      <c r="G887">
        <v>2.17</v>
      </c>
      <c r="H887">
        <v>1.2</v>
      </c>
      <c r="I887" t="s">
        <v>40</v>
      </c>
      <c r="J887">
        <v>5</v>
      </c>
      <c r="K887">
        <v>7</v>
      </c>
      <c r="L887">
        <v>6</v>
      </c>
      <c r="M887">
        <v>0</v>
      </c>
    </row>
    <row r="888" spans="1:13" x14ac:dyDescent="0.25">
      <c r="A888">
        <v>19</v>
      </c>
      <c r="B888" t="s">
        <v>37</v>
      </c>
      <c r="C888">
        <v>3.9</v>
      </c>
      <c r="D888" t="s">
        <v>41</v>
      </c>
      <c r="E888">
        <v>7.9</v>
      </c>
      <c r="F888">
        <v>2.1</v>
      </c>
      <c r="G888">
        <v>3.52</v>
      </c>
      <c r="H888">
        <v>0.6</v>
      </c>
      <c r="I888" t="s">
        <v>39</v>
      </c>
      <c r="J888">
        <v>3</v>
      </c>
      <c r="K888">
        <v>2</v>
      </c>
      <c r="L888">
        <v>4</v>
      </c>
      <c r="M888">
        <v>0</v>
      </c>
    </row>
    <row r="889" spans="1:13" x14ac:dyDescent="0.25">
      <c r="A889">
        <v>16</v>
      </c>
      <c r="B889" t="s">
        <v>37</v>
      </c>
      <c r="C889">
        <v>3.5</v>
      </c>
      <c r="D889" t="s">
        <v>38</v>
      </c>
      <c r="E889">
        <v>6.1</v>
      </c>
      <c r="F889">
        <v>2.7</v>
      </c>
      <c r="G889">
        <v>3.83</v>
      </c>
      <c r="H889">
        <v>0.1</v>
      </c>
      <c r="I889" t="s">
        <v>40</v>
      </c>
      <c r="J889">
        <v>4</v>
      </c>
      <c r="K889">
        <v>5</v>
      </c>
      <c r="L889">
        <v>10</v>
      </c>
      <c r="M889">
        <v>0</v>
      </c>
    </row>
    <row r="890" spans="1:13" x14ac:dyDescent="0.25">
      <c r="A890">
        <v>17</v>
      </c>
      <c r="B890" t="s">
        <v>34</v>
      </c>
      <c r="C890">
        <v>4.9000000000000004</v>
      </c>
      <c r="D890" t="s">
        <v>35</v>
      </c>
      <c r="E890">
        <v>6.4</v>
      </c>
      <c r="F890">
        <v>2.5</v>
      </c>
      <c r="G890">
        <v>2.64</v>
      </c>
      <c r="H890">
        <v>1.9</v>
      </c>
      <c r="I890" t="s">
        <v>40</v>
      </c>
      <c r="J890">
        <v>6</v>
      </c>
      <c r="K890">
        <v>2</v>
      </c>
      <c r="L890">
        <v>10</v>
      </c>
      <c r="M890">
        <v>0</v>
      </c>
    </row>
    <row r="891" spans="1:13" x14ac:dyDescent="0.25">
      <c r="A891">
        <v>14</v>
      </c>
      <c r="B891" t="s">
        <v>34</v>
      </c>
      <c r="C891">
        <v>3.4</v>
      </c>
      <c r="D891" t="s">
        <v>41</v>
      </c>
      <c r="E891">
        <v>5.8</v>
      </c>
      <c r="F891">
        <v>3</v>
      </c>
      <c r="G891">
        <v>3.32</v>
      </c>
      <c r="H891">
        <v>0.6</v>
      </c>
      <c r="I891" t="s">
        <v>40</v>
      </c>
      <c r="J891">
        <v>1</v>
      </c>
      <c r="K891">
        <v>4</v>
      </c>
      <c r="L891">
        <v>4</v>
      </c>
      <c r="M891">
        <v>0</v>
      </c>
    </row>
    <row r="892" spans="1:13" x14ac:dyDescent="0.25">
      <c r="A892">
        <v>18</v>
      </c>
      <c r="B892" t="s">
        <v>34</v>
      </c>
      <c r="C892">
        <v>2.5</v>
      </c>
      <c r="D892" t="s">
        <v>38</v>
      </c>
      <c r="E892">
        <v>4.5999999999999996</v>
      </c>
      <c r="F892">
        <v>2.2000000000000002</v>
      </c>
      <c r="G892">
        <v>2.0499999999999998</v>
      </c>
      <c r="H892">
        <v>0.7</v>
      </c>
      <c r="I892" t="s">
        <v>40</v>
      </c>
      <c r="J892">
        <v>9</v>
      </c>
      <c r="K892">
        <v>5</v>
      </c>
      <c r="L892">
        <v>10</v>
      </c>
      <c r="M892">
        <v>0</v>
      </c>
    </row>
    <row r="893" spans="1:13" x14ac:dyDescent="0.25">
      <c r="A893">
        <v>16</v>
      </c>
      <c r="B893" t="s">
        <v>34</v>
      </c>
      <c r="C893">
        <v>4.8</v>
      </c>
      <c r="D893" t="s">
        <v>41</v>
      </c>
      <c r="E893">
        <v>5.4</v>
      </c>
      <c r="F893">
        <v>0.9</v>
      </c>
      <c r="G893">
        <v>2.06</v>
      </c>
      <c r="H893">
        <v>1.9</v>
      </c>
      <c r="I893" t="s">
        <v>36</v>
      </c>
      <c r="J893">
        <v>8</v>
      </c>
      <c r="K893">
        <v>3</v>
      </c>
      <c r="L893">
        <v>2</v>
      </c>
      <c r="M893">
        <v>0</v>
      </c>
    </row>
    <row r="894" spans="1:13" x14ac:dyDescent="0.25">
      <c r="A894">
        <v>19</v>
      </c>
      <c r="B894" t="s">
        <v>34</v>
      </c>
      <c r="C894">
        <v>7.4</v>
      </c>
      <c r="D894" t="s">
        <v>38</v>
      </c>
      <c r="E894">
        <v>6.1</v>
      </c>
      <c r="F894">
        <v>1.1000000000000001</v>
      </c>
      <c r="G894">
        <v>2.15</v>
      </c>
      <c r="H894">
        <v>1.6</v>
      </c>
      <c r="I894" t="s">
        <v>39</v>
      </c>
      <c r="J894">
        <v>4</v>
      </c>
      <c r="K894">
        <v>4</v>
      </c>
      <c r="L894">
        <v>1</v>
      </c>
      <c r="M894">
        <v>0</v>
      </c>
    </row>
    <row r="895" spans="1:13" x14ac:dyDescent="0.25">
      <c r="A895">
        <v>16</v>
      </c>
      <c r="B895" t="s">
        <v>37</v>
      </c>
      <c r="C895">
        <v>2.1</v>
      </c>
      <c r="D895" t="s">
        <v>35</v>
      </c>
      <c r="E895">
        <v>4.8</v>
      </c>
      <c r="F895">
        <v>1.3</v>
      </c>
      <c r="G895">
        <v>2.29</v>
      </c>
      <c r="H895">
        <v>1.8</v>
      </c>
      <c r="I895" t="s">
        <v>39</v>
      </c>
      <c r="J895">
        <v>6</v>
      </c>
      <c r="K895">
        <v>9</v>
      </c>
      <c r="L895">
        <v>2</v>
      </c>
      <c r="M895">
        <v>0</v>
      </c>
    </row>
    <row r="896" spans="1:13" x14ac:dyDescent="0.25">
      <c r="A896">
        <v>19</v>
      </c>
      <c r="B896" t="s">
        <v>34</v>
      </c>
      <c r="C896">
        <v>2.1</v>
      </c>
      <c r="D896" t="s">
        <v>38</v>
      </c>
      <c r="E896">
        <v>6.8</v>
      </c>
      <c r="F896">
        <v>2.2000000000000002</v>
      </c>
      <c r="G896">
        <v>2.33</v>
      </c>
      <c r="H896">
        <v>1</v>
      </c>
      <c r="I896" t="s">
        <v>40</v>
      </c>
      <c r="J896">
        <v>7</v>
      </c>
      <c r="K896">
        <v>6</v>
      </c>
      <c r="L896">
        <v>7</v>
      </c>
      <c r="M896">
        <v>0</v>
      </c>
    </row>
    <row r="897" spans="1:13" x14ac:dyDescent="0.25">
      <c r="A897">
        <v>16</v>
      </c>
      <c r="B897" t="s">
        <v>34</v>
      </c>
      <c r="C897">
        <v>1.8</v>
      </c>
      <c r="D897" t="s">
        <v>35</v>
      </c>
      <c r="E897">
        <v>4.9000000000000004</v>
      </c>
      <c r="F897">
        <v>2.2999999999999998</v>
      </c>
      <c r="G897">
        <v>2.67</v>
      </c>
      <c r="H897">
        <v>1.4</v>
      </c>
      <c r="I897" t="s">
        <v>40</v>
      </c>
      <c r="J897">
        <v>3</v>
      </c>
      <c r="K897">
        <v>8</v>
      </c>
      <c r="L897">
        <v>6</v>
      </c>
      <c r="M897">
        <v>0</v>
      </c>
    </row>
    <row r="898" spans="1:13" x14ac:dyDescent="0.25">
      <c r="A898">
        <v>18</v>
      </c>
      <c r="B898" t="s">
        <v>34</v>
      </c>
      <c r="C898">
        <v>6.8</v>
      </c>
      <c r="D898" t="s">
        <v>41</v>
      </c>
      <c r="E898">
        <v>5.4</v>
      </c>
      <c r="F898">
        <v>0.9</v>
      </c>
      <c r="G898">
        <v>2.64</v>
      </c>
      <c r="H898">
        <v>0.3</v>
      </c>
      <c r="I898" t="s">
        <v>39</v>
      </c>
      <c r="J898">
        <v>9</v>
      </c>
      <c r="K898">
        <v>1</v>
      </c>
      <c r="L898">
        <v>8</v>
      </c>
      <c r="M898">
        <v>0</v>
      </c>
    </row>
    <row r="899" spans="1:13" x14ac:dyDescent="0.25">
      <c r="A899">
        <v>18</v>
      </c>
      <c r="B899" t="s">
        <v>34</v>
      </c>
      <c r="C899">
        <v>7.9</v>
      </c>
      <c r="D899" t="s">
        <v>35</v>
      </c>
      <c r="E899">
        <v>4.0999999999999996</v>
      </c>
      <c r="F899">
        <v>2.8</v>
      </c>
      <c r="G899">
        <v>3.25</v>
      </c>
      <c r="H899">
        <v>1.4</v>
      </c>
      <c r="I899" t="s">
        <v>39</v>
      </c>
      <c r="J899">
        <v>4</v>
      </c>
      <c r="K899">
        <v>2</v>
      </c>
      <c r="L899">
        <v>4</v>
      </c>
      <c r="M899">
        <v>0</v>
      </c>
    </row>
    <row r="900" spans="1:13" x14ac:dyDescent="0.25">
      <c r="A900">
        <v>15</v>
      </c>
      <c r="B900" t="s">
        <v>34</v>
      </c>
      <c r="C900">
        <v>7.6</v>
      </c>
      <c r="D900" t="s">
        <v>41</v>
      </c>
      <c r="E900">
        <v>6</v>
      </c>
      <c r="F900">
        <v>2.9</v>
      </c>
      <c r="G900">
        <v>2.72</v>
      </c>
      <c r="H900">
        <v>1.8</v>
      </c>
      <c r="I900" t="s">
        <v>39</v>
      </c>
      <c r="J900">
        <v>1</v>
      </c>
      <c r="K900">
        <v>9</v>
      </c>
      <c r="L900">
        <v>6</v>
      </c>
      <c r="M900">
        <v>0</v>
      </c>
    </row>
    <row r="901" spans="1:13" x14ac:dyDescent="0.25">
      <c r="A901">
        <v>18</v>
      </c>
      <c r="B901" t="s">
        <v>34</v>
      </c>
      <c r="C901">
        <v>6.1</v>
      </c>
      <c r="D901" t="s">
        <v>38</v>
      </c>
      <c r="E901">
        <v>5.8</v>
      </c>
      <c r="F901">
        <v>1.8</v>
      </c>
      <c r="G901">
        <v>3.59</v>
      </c>
      <c r="H901">
        <v>0.2</v>
      </c>
      <c r="I901" t="s">
        <v>36</v>
      </c>
      <c r="J901">
        <v>2</v>
      </c>
      <c r="K901">
        <v>5</v>
      </c>
      <c r="L901">
        <v>4</v>
      </c>
      <c r="M901">
        <v>0</v>
      </c>
    </row>
    <row r="902" spans="1:13" x14ac:dyDescent="0.25">
      <c r="A902">
        <v>16</v>
      </c>
      <c r="B902" t="s">
        <v>37</v>
      </c>
      <c r="C902">
        <v>1.4</v>
      </c>
      <c r="D902" t="s">
        <v>41</v>
      </c>
      <c r="E902">
        <v>5.7</v>
      </c>
      <c r="F902">
        <v>1.8</v>
      </c>
      <c r="G902">
        <v>2</v>
      </c>
      <c r="H902">
        <v>1.4</v>
      </c>
      <c r="I902" t="s">
        <v>36</v>
      </c>
      <c r="J902">
        <v>4</v>
      </c>
      <c r="K902">
        <v>8</v>
      </c>
      <c r="L902">
        <v>7</v>
      </c>
      <c r="M902">
        <v>0</v>
      </c>
    </row>
    <row r="903" spans="1:13" x14ac:dyDescent="0.25">
      <c r="A903">
        <v>19</v>
      </c>
      <c r="B903" t="s">
        <v>34</v>
      </c>
      <c r="C903">
        <v>6.3</v>
      </c>
      <c r="D903" t="s">
        <v>38</v>
      </c>
      <c r="E903">
        <v>5.7</v>
      </c>
      <c r="F903">
        <v>1.4</v>
      </c>
      <c r="G903">
        <v>2.0299999999999998</v>
      </c>
      <c r="H903">
        <v>1.1000000000000001</v>
      </c>
      <c r="I903" t="s">
        <v>36</v>
      </c>
      <c r="J903">
        <v>4</v>
      </c>
      <c r="K903">
        <v>6</v>
      </c>
      <c r="L903">
        <v>1</v>
      </c>
      <c r="M903">
        <v>0</v>
      </c>
    </row>
    <row r="904" spans="1:13" x14ac:dyDescent="0.25">
      <c r="A904">
        <v>13</v>
      </c>
      <c r="B904" t="s">
        <v>34</v>
      </c>
      <c r="C904">
        <v>1.3</v>
      </c>
      <c r="D904" t="s">
        <v>35</v>
      </c>
      <c r="E904">
        <v>5.7</v>
      </c>
      <c r="F904">
        <v>1.1000000000000001</v>
      </c>
      <c r="G904">
        <v>3.74</v>
      </c>
      <c r="H904">
        <v>1.3</v>
      </c>
      <c r="I904" t="s">
        <v>36</v>
      </c>
      <c r="J904">
        <v>9</v>
      </c>
      <c r="K904">
        <v>5</v>
      </c>
      <c r="L904">
        <v>10</v>
      </c>
      <c r="M904">
        <v>0</v>
      </c>
    </row>
    <row r="905" spans="1:13" x14ac:dyDescent="0.25">
      <c r="A905">
        <v>17</v>
      </c>
      <c r="B905" t="s">
        <v>34</v>
      </c>
      <c r="C905">
        <v>5.0999999999999996</v>
      </c>
      <c r="D905" t="s">
        <v>38</v>
      </c>
      <c r="E905">
        <v>5.0999999999999996</v>
      </c>
      <c r="F905">
        <v>2.9</v>
      </c>
      <c r="G905">
        <v>3.99</v>
      </c>
      <c r="H905">
        <v>0.6</v>
      </c>
      <c r="I905" t="s">
        <v>40</v>
      </c>
      <c r="J905">
        <v>4</v>
      </c>
      <c r="K905">
        <v>2</v>
      </c>
      <c r="L905">
        <v>9</v>
      </c>
      <c r="M905">
        <v>0</v>
      </c>
    </row>
    <row r="906" spans="1:13" x14ac:dyDescent="0.25">
      <c r="A906">
        <v>19</v>
      </c>
      <c r="B906" t="s">
        <v>37</v>
      </c>
      <c r="C906">
        <v>4</v>
      </c>
      <c r="D906" t="s">
        <v>35</v>
      </c>
      <c r="E906">
        <v>8.1999999999999993</v>
      </c>
      <c r="F906">
        <v>1.4</v>
      </c>
      <c r="G906">
        <v>3.63</v>
      </c>
      <c r="H906">
        <v>1.3</v>
      </c>
      <c r="I906" t="s">
        <v>36</v>
      </c>
      <c r="J906">
        <v>5</v>
      </c>
      <c r="K906">
        <v>3</v>
      </c>
      <c r="L906">
        <v>10</v>
      </c>
      <c r="M906">
        <v>0</v>
      </c>
    </row>
    <row r="907" spans="1:13" x14ac:dyDescent="0.25">
      <c r="A907">
        <v>17</v>
      </c>
      <c r="B907" t="s">
        <v>37</v>
      </c>
      <c r="C907">
        <v>7.6</v>
      </c>
      <c r="D907" t="s">
        <v>35</v>
      </c>
      <c r="E907">
        <v>7.3</v>
      </c>
      <c r="F907">
        <v>1.9</v>
      </c>
      <c r="G907">
        <v>3.05</v>
      </c>
      <c r="H907">
        <v>1.1000000000000001</v>
      </c>
      <c r="I907" t="s">
        <v>40</v>
      </c>
      <c r="J907">
        <v>10</v>
      </c>
      <c r="K907">
        <v>8</v>
      </c>
      <c r="L907">
        <v>1</v>
      </c>
      <c r="M907">
        <v>0</v>
      </c>
    </row>
    <row r="908" spans="1:13" x14ac:dyDescent="0.25">
      <c r="A908">
        <v>19</v>
      </c>
      <c r="B908" t="s">
        <v>34</v>
      </c>
      <c r="C908">
        <v>3.8</v>
      </c>
      <c r="D908" t="s">
        <v>38</v>
      </c>
      <c r="E908">
        <v>7.4</v>
      </c>
      <c r="F908">
        <v>2.6</v>
      </c>
      <c r="G908">
        <v>2.25</v>
      </c>
      <c r="H908">
        <v>0.5</v>
      </c>
      <c r="I908" t="s">
        <v>36</v>
      </c>
      <c r="J908">
        <v>7</v>
      </c>
      <c r="K908">
        <v>4</v>
      </c>
      <c r="L908">
        <v>8</v>
      </c>
      <c r="M908">
        <v>0</v>
      </c>
    </row>
    <row r="909" spans="1:13" x14ac:dyDescent="0.25">
      <c r="A909">
        <v>17</v>
      </c>
      <c r="B909" t="s">
        <v>34</v>
      </c>
      <c r="C909">
        <v>5.2</v>
      </c>
      <c r="D909" t="s">
        <v>35</v>
      </c>
      <c r="E909">
        <v>4.7</v>
      </c>
      <c r="F909">
        <v>2.4</v>
      </c>
      <c r="G909">
        <v>2.77</v>
      </c>
      <c r="H909">
        <v>1.3</v>
      </c>
      <c r="I909" t="s">
        <v>39</v>
      </c>
      <c r="J909">
        <v>9</v>
      </c>
      <c r="K909">
        <v>6</v>
      </c>
      <c r="L909">
        <v>9</v>
      </c>
      <c r="M909">
        <v>0</v>
      </c>
    </row>
    <row r="910" spans="1:13" x14ac:dyDescent="0.25">
      <c r="A910">
        <v>13</v>
      </c>
      <c r="B910" t="s">
        <v>34</v>
      </c>
      <c r="C910">
        <v>5</v>
      </c>
      <c r="D910" t="s">
        <v>41</v>
      </c>
      <c r="E910">
        <v>8.6</v>
      </c>
      <c r="F910">
        <v>0.7</v>
      </c>
      <c r="G910">
        <v>2.99</v>
      </c>
      <c r="H910">
        <v>1.5</v>
      </c>
      <c r="I910" t="s">
        <v>36</v>
      </c>
      <c r="J910">
        <v>3</v>
      </c>
      <c r="K910">
        <v>8</v>
      </c>
      <c r="L910">
        <v>3</v>
      </c>
      <c r="M910">
        <v>0</v>
      </c>
    </row>
    <row r="911" spans="1:13" x14ac:dyDescent="0.25">
      <c r="A911">
        <v>19</v>
      </c>
      <c r="B911" t="s">
        <v>37</v>
      </c>
      <c r="C911">
        <v>7.4</v>
      </c>
      <c r="D911" t="s">
        <v>41</v>
      </c>
      <c r="E911">
        <v>8.3000000000000007</v>
      </c>
      <c r="F911">
        <v>1.4</v>
      </c>
      <c r="G911">
        <v>3.64</v>
      </c>
      <c r="H911">
        <v>0.4</v>
      </c>
      <c r="I911" t="s">
        <v>36</v>
      </c>
      <c r="J911">
        <v>6</v>
      </c>
      <c r="K911">
        <v>9</v>
      </c>
      <c r="L911">
        <v>6</v>
      </c>
      <c r="M911">
        <v>0</v>
      </c>
    </row>
    <row r="912" spans="1:13" x14ac:dyDescent="0.25">
      <c r="A912">
        <v>16</v>
      </c>
      <c r="B912" t="s">
        <v>34</v>
      </c>
      <c r="C912">
        <v>6.1</v>
      </c>
      <c r="D912" t="s">
        <v>38</v>
      </c>
      <c r="E912">
        <v>6.8</v>
      </c>
      <c r="F912">
        <v>0.8</v>
      </c>
      <c r="G912">
        <v>2.61</v>
      </c>
      <c r="H912">
        <v>0.9</v>
      </c>
      <c r="I912" t="s">
        <v>36</v>
      </c>
      <c r="J912">
        <v>10</v>
      </c>
      <c r="K912">
        <v>10</v>
      </c>
      <c r="L912">
        <v>4</v>
      </c>
      <c r="M912">
        <v>0</v>
      </c>
    </row>
    <row r="913" spans="1:13" x14ac:dyDescent="0.25">
      <c r="A913">
        <v>13</v>
      </c>
      <c r="B913" t="s">
        <v>37</v>
      </c>
      <c r="C913">
        <v>7.4</v>
      </c>
      <c r="D913" t="s">
        <v>41</v>
      </c>
      <c r="E913">
        <v>6.7</v>
      </c>
      <c r="F913">
        <v>2</v>
      </c>
      <c r="G913">
        <v>2.42</v>
      </c>
      <c r="H913">
        <v>1.5</v>
      </c>
      <c r="I913" t="s">
        <v>36</v>
      </c>
      <c r="J913">
        <v>10</v>
      </c>
      <c r="K913">
        <v>1</v>
      </c>
      <c r="L913">
        <v>1</v>
      </c>
      <c r="M913">
        <v>0</v>
      </c>
    </row>
    <row r="914" spans="1:13" x14ac:dyDescent="0.25">
      <c r="A914">
        <v>16</v>
      </c>
      <c r="B914" t="s">
        <v>34</v>
      </c>
      <c r="C914">
        <v>3.5</v>
      </c>
      <c r="D914" t="s">
        <v>41</v>
      </c>
      <c r="E914">
        <v>4.4000000000000004</v>
      </c>
      <c r="F914">
        <v>1.5</v>
      </c>
      <c r="G914">
        <v>2.7</v>
      </c>
      <c r="H914">
        <v>0.8</v>
      </c>
      <c r="I914" t="s">
        <v>39</v>
      </c>
      <c r="J914">
        <v>2</v>
      </c>
      <c r="K914">
        <v>10</v>
      </c>
      <c r="L914">
        <v>8</v>
      </c>
      <c r="M914">
        <v>0</v>
      </c>
    </row>
    <row r="915" spans="1:13" x14ac:dyDescent="0.25">
      <c r="A915">
        <v>14</v>
      </c>
      <c r="B915" t="s">
        <v>34</v>
      </c>
      <c r="C915">
        <v>5.0999999999999996</v>
      </c>
      <c r="D915" t="s">
        <v>35</v>
      </c>
      <c r="E915">
        <v>6.3</v>
      </c>
      <c r="F915">
        <v>1.6</v>
      </c>
      <c r="G915">
        <v>2.7</v>
      </c>
      <c r="H915">
        <v>0.1</v>
      </c>
      <c r="I915" t="s">
        <v>40</v>
      </c>
      <c r="J915">
        <v>7</v>
      </c>
      <c r="K915">
        <v>2</v>
      </c>
      <c r="L915">
        <v>7</v>
      </c>
      <c r="M915">
        <v>0</v>
      </c>
    </row>
    <row r="916" spans="1:13" x14ac:dyDescent="0.25">
      <c r="A916">
        <v>17</v>
      </c>
      <c r="B916" t="s">
        <v>34</v>
      </c>
      <c r="C916">
        <v>4.8</v>
      </c>
      <c r="D916" t="s">
        <v>38</v>
      </c>
      <c r="E916">
        <v>6</v>
      </c>
      <c r="F916">
        <v>2.1</v>
      </c>
      <c r="G916">
        <v>2.39</v>
      </c>
      <c r="H916">
        <v>1.8</v>
      </c>
      <c r="I916" t="s">
        <v>39</v>
      </c>
      <c r="J916">
        <v>5</v>
      </c>
      <c r="K916">
        <v>8</v>
      </c>
      <c r="L916">
        <v>7</v>
      </c>
      <c r="M916">
        <v>0</v>
      </c>
    </row>
    <row r="917" spans="1:13" x14ac:dyDescent="0.25">
      <c r="A917">
        <v>14</v>
      </c>
      <c r="B917" t="s">
        <v>34</v>
      </c>
      <c r="C917">
        <v>7.5</v>
      </c>
      <c r="D917" t="s">
        <v>41</v>
      </c>
      <c r="E917">
        <v>7.6</v>
      </c>
      <c r="F917">
        <v>2.8</v>
      </c>
      <c r="G917">
        <v>3.1</v>
      </c>
      <c r="H917">
        <v>0.7</v>
      </c>
      <c r="I917" t="s">
        <v>40</v>
      </c>
      <c r="J917">
        <v>3</v>
      </c>
      <c r="K917">
        <v>1</v>
      </c>
      <c r="L917">
        <v>2</v>
      </c>
      <c r="M917">
        <v>0</v>
      </c>
    </row>
    <row r="918" spans="1:13" x14ac:dyDescent="0.25">
      <c r="A918">
        <v>19</v>
      </c>
      <c r="B918" t="s">
        <v>34</v>
      </c>
      <c r="C918">
        <v>4.7</v>
      </c>
      <c r="D918" t="s">
        <v>41</v>
      </c>
      <c r="E918">
        <v>8.6999999999999993</v>
      </c>
      <c r="F918">
        <v>2</v>
      </c>
      <c r="G918">
        <v>3.23</v>
      </c>
      <c r="H918">
        <v>1.7</v>
      </c>
      <c r="I918" t="s">
        <v>36</v>
      </c>
      <c r="J918">
        <v>4</v>
      </c>
      <c r="K918">
        <v>10</v>
      </c>
      <c r="L918">
        <v>3</v>
      </c>
      <c r="M918">
        <v>0</v>
      </c>
    </row>
    <row r="919" spans="1:13" x14ac:dyDescent="0.25">
      <c r="A919">
        <v>19</v>
      </c>
      <c r="B919" t="s">
        <v>34</v>
      </c>
      <c r="C919">
        <v>3.3</v>
      </c>
      <c r="D919" t="s">
        <v>38</v>
      </c>
      <c r="E919">
        <v>8.5</v>
      </c>
      <c r="F919">
        <v>1.2</v>
      </c>
      <c r="G919">
        <v>3.29</v>
      </c>
      <c r="H919">
        <v>0.5</v>
      </c>
      <c r="I919" t="s">
        <v>40</v>
      </c>
      <c r="J919">
        <v>6</v>
      </c>
      <c r="K919">
        <v>2</v>
      </c>
      <c r="L919">
        <v>9</v>
      </c>
      <c r="M919">
        <v>0</v>
      </c>
    </row>
    <row r="920" spans="1:13" x14ac:dyDescent="0.25">
      <c r="A920">
        <v>16</v>
      </c>
      <c r="B920" t="s">
        <v>37</v>
      </c>
      <c r="C920">
        <v>6.9</v>
      </c>
      <c r="D920" t="s">
        <v>35</v>
      </c>
      <c r="E920">
        <v>5.8</v>
      </c>
      <c r="F920">
        <v>0.6</v>
      </c>
      <c r="G920">
        <v>3.65</v>
      </c>
      <c r="H920">
        <v>0.5</v>
      </c>
      <c r="I920" t="s">
        <v>39</v>
      </c>
      <c r="J920">
        <v>10</v>
      </c>
      <c r="K920">
        <v>8</v>
      </c>
      <c r="L920">
        <v>10</v>
      </c>
      <c r="M920">
        <v>1</v>
      </c>
    </row>
    <row r="921" spans="1:13" x14ac:dyDescent="0.25">
      <c r="A921">
        <v>15</v>
      </c>
      <c r="B921" t="s">
        <v>34</v>
      </c>
      <c r="C921">
        <v>5.4</v>
      </c>
      <c r="D921" t="s">
        <v>35</v>
      </c>
      <c r="E921">
        <v>4.2</v>
      </c>
      <c r="F921">
        <v>1.5</v>
      </c>
      <c r="G921">
        <v>2.72</v>
      </c>
      <c r="H921">
        <v>0.4</v>
      </c>
      <c r="I921" t="s">
        <v>39</v>
      </c>
      <c r="J921">
        <v>1</v>
      </c>
      <c r="K921">
        <v>6</v>
      </c>
      <c r="L921">
        <v>5</v>
      </c>
      <c r="M921">
        <v>0</v>
      </c>
    </row>
    <row r="922" spans="1:13" x14ac:dyDescent="0.25">
      <c r="A922">
        <v>13</v>
      </c>
      <c r="B922" t="s">
        <v>37</v>
      </c>
      <c r="C922">
        <v>5.2</v>
      </c>
      <c r="D922" t="s">
        <v>41</v>
      </c>
      <c r="E922">
        <v>7.7</v>
      </c>
      <c r="F922">
        <v>2.7</v>
      </c>
      <c r="G922">
        <v>2.84</v>
      </c>
      <c r="H922">
        <v>0.8</v>
      </c>
      <c r="I922" t="s">
        <v>39</v>
      </c>
      <c r="J922">
        <v>2</v>
      </c>
      <c r="K922">
        <v>5</v>
      </c>
      <c r="L922">
        <v>5</v>
      </c>
      <c r="M922">
        <v>0</v>
      </c>
    </row>
    <row r="923" spans="1:13" x14ac:dyDescent="0.25">
      <c r="A923">
        <v>15</v>
      </c>
      <c r="B923" t="s">
        <v>37</v>
      </c>
      <c r="C923">
        <v>3.3</v>
      </c>
      <c r="D923" t="s">
        <v>35</v>
      </c>
      <c r="E923">
        <v>6.5</v>
      </c>
      <c r="F923">
        <v>1.3</v>
      </c>
      <c r="G923">
        <v>2.44</v>
      </c>
      <c r="H923">
        <v>0.3</v>
      </c>
      <c r="I923" t="s">
        <v>40</v>
      </c>
      <c r="J923">
        <v>7</v>
      </c>
      <c r="K923">
        <v>6</v>
      </c>
      <c r="L923">
        <v>7</v>
      </c>
      <c r="M923">
        <v>0</v>
      </c>
    </row>
    <row r="924" spans="1:13" x14ac:dyDescent="0.25">
      <c r="A924">
        <v>15</v>
      </c>
      <c r="B924" t="s">
        <v>37</v>
      </c>
      <c r="C924">
        <v>7.3</v>
      </c>
      <c r="D924" t="s">
        <v>41</v>
      </c>
      <c r="E924">
        <v>7.6</v>
      </c>
      <c r="F924">
        <v>1.9</v>
      </c>
      <c r="G924">
        <v>2.31</v>
      </c>
      <c r="H924">
        <v>0.8</v>
      </c>
      <c r="I924" t="s">
        <v>40</v>
      </c>
      <c r="J924">
        <v>8</v>
      </c>
      <c r="K924">
        <v>7</v>
      </c>
      <c r="L924">
        <v>5</v>
      </c>
      <c r="M924">
        <v>0</v>
      </c>
    </row>
    <row r="925" spans="1:13" x14ac:dyDescent="0.25">
      <c r="A925">
        <v>17</v>
      </c>
      <c r="B925" t="s">
        <v>34</v>
      </c>
      <c r="C925">
        <v>7.6</v>
      </c>
      <c r="D925" t="s">
        <v>41</v>
      </c>
      <c r="E925">
        <v>4.9000000000000004</v>
      </c>
      <c r="F925">
        <v>0.6</v>
      </c>
      <c r="G925">
        <v>2.56</v>
      </c>
      <c r="H925">
        <v>0.8</v>
      </c>
      <c r="I925" t="s">
        <v>36</v>
      </c>
      <c r="J925">
        <v>4</v>
      </c>
      <c r="K925">
        <v>1</v>
      </c>
      <c r="L925">
        <v>9</v>
      </c>
      <c r="M925">
        <v>0</v>
      </c>
    </row>
    <row r="926" spans="1:13" x14ac:dyDescent="0.25">
      <c r="A926">
        <v>17</v>
      </c>
      <c r="B926" t="s">
        <v>34</v>
      </c>
      <c r="C926">
        <v>1.7</v>
      </c>
      <c r="D926" t="s">
        <v>41</v>
      </c>
      <c r="E926">
        <v>7</v>
      </c>
      <c r="F926">
        <v>0.8</v>
      </c>
      <c r="G926">
        <v>3.39</v>
      </c>
      <c r="H926">
        <v>0.9</v>
      </c>
      <c r="I926" t="s">
        <v>39</v>
      </c>
      <c r="J926">
        <v>7</v>
      </c>
      <c r="K926">
        <v>7</v>
      </c>
      <c r="L926">
        <v>10</v>
      </c>
      <c r="M926">
        <v>0</v>
      </c>
    </row>
    <row r="927" spans="1:13" x14ac:dyDescent="0.25">
      <c r="A927">
        <v>18</v>
      </c>
      <c r="B927" t="s">
        <v>34</v>
      </c>
      <c r="C927">
        <v>1.5</v>
      </c>
      <c r="D927" t="s">
        <v>41</v>
      </c>
      <c r="E927">
        <v>5.6</v>
      </c>
      <c r="F927">
        <v>2.9</v>
      </c>
      <c r="G927">
        <v>2.57</v>
      </c>
      <c r="H927">
        <v>0.6</v>
      </c>
      <c r="I927" t="s">
        <v>39</v>
      </c>
      <c r="J927">
        <v>5</v>
      </c>
      <c r="K927">
        <v>8</v>
      </c>
      <c r="L927">
        <v>4</v>
      </c>
      <c r="M927">
        <v>0</v>
      </c>
    </row>
    <row r="928" spans="1:13" x14ac:dyDescent="0.25">
      <c r="A928">
        <v>17</v>
      </c>
      <c r="B928" t="s">
        <v>34</v>
      </c>
      <c r="C928">
        <v>7.3</v>
      </c>
      <c r="D928" t="s">
        <v>41</v>
      </c>
      <c r="E928">
        <v>8.5</v>
      </c>
      <c r="F928">
        <v>1.5</v>
      </c>
      <c r="G928">
        <v>3.54</v>
      </c>
      <c r="H928">
        <v>1.2</v>
      </c>
      <c r="I928" t="s">
        <v>36</v>
      </c>
      <c r="J928">
        <v>3</v>
      </c>
      <c r="K928">
        <v>3</v>
      </c>
      <c r="L928">
        <v>7</v>
      </c>
      <c r="M928">
        <v>0</v>
      </c>
    </row>
    <row r="929" spans="1:13" x14ac:dyDescent="0.25">
      <c r="A929">
        <v>14</v>
      </c>
      <c r="B929" t="s">
        <v>34</v>
      </c>
      <c r="C929">
        <v>2.8</v>
      </c>
      <c r="D929" t="s">
        <v>41</v>
      </c>
      <c r="E929">
        <v>6.2</v>
      </c>
      <c r="F929">
        <v>1.2</v>
      </c>
      <c r="G929">
        <v>3.21</v>
      </c>
      <c r="H929">
        <v>1</v>
      </c>
      <c r="I929" t="s">
        <v>36</v>
      </c>
      <c r="J929">
        <v>3</v>
      </c>
      <c r="K929">
        <v>10</v>
      </c>
      <c r="L929">
        <v>6</v>
      </c>
      <c r="M929">
        <v>0</v>
      </c>
    </row>
    <row r="930" spans="1:13" x14ac:dyDescent="0.25">
      <c r="A930">
        <v>15</v>
      </c>
      <c r="B930" t="s">
        <v>34</v>
      </c>
      <c r="C930">
        <v>1.2</v>
      </c>
      <c r="D930" t="s">
        <v>41</v>
      </c>
      <c r="E930">
        <v>7.4</v>
      </c>
      <c r="F930">
        <v>2.7</v>
      </c>
      <c r="G930">
        <v>2.92</v>
      </c>
      <c r="H930">
        <v>1.4</v>
      </c>
      <c r="I930" t="s">
        <v>36</v>
      </c>
      <c r="J930">
        <v>3</v>
      </c>
      <c r="K930">
        <v>7</v>
      </c>
      <c r="L930">
        <v>4</v>
      </c>
      <c r="M930">
        <v>0</v>
      </c>
    </row>
    <row r="931" spans="1:13" x14ac:dyDescent="0.25">
      <c r="A931">
        <v>16</v>
      </c>
      <c r="B931" t="s">
        <v>37</v>
      </c>
      <c r="C931">
        <v>2.5</v>
      </c>
      <c r="D931" t="s">
        <v>38</v>
      </c>
      <c r="E931">
        <v>8.9</v>
      </c>
      <c r="F931">
        <v>1.2</v>
      </c>
      <c r="G931">
        <v>3.33</v>
      </c>
      <c r="H931">
        <v>1.5</v>
      </c>
      <c r="I931" t="s">
        <v>39</v>
      </c>
      <c r="J931">
        <v>4</v>
      </c>
      <c r="K931">
        <v>4</v>
      </c>
      <c r="L931">
        <v>10</v>
      </c>
      <c r="M931">
        <v>0</v>
      </c>
    </row>
    <row r="932" spans="1:13" x14ac:dyDescent="0.25">
      <c r="A932">
        <v>17</v>
      </c>
      <c r="B932" t="s">
        <v>34</v>
      </c>
      <c r="C932">
        <v>4.8</v>
      </c>
      <c r="D932" t="s">
        <v>38</v>
      </c>
      <c r="E932">
        <v>5.6</v>
      </c>
      <c r="F932">
        <v>1.6</v>
      </c>
      <c r="G932">
        <v>2</v>
      </c>
      <c r="H932">
        <v>1.3</v>
      </c>
      <c r="I932" t="s">
        <v>36</v>
      </c>
      <c r="J932">
        <v>3</v>
      </c>
      <c r="K932">
        <v>8</v>
      </c>
      <c r="L932">
        <v>4</v>
      </c>
      <c r="M932">
        <v>0</v>
      </c>
    </row>
    <row r="933" spans="1:13" x14ac:dyDescent="0.25">
      <c r="A933">
        <v>18</v>
      </c>
      <c r="B933" t="s">
        <v>37</v>
      </c>
      <c r="C933">
        <v>6.4</v>
      </c>
      <c r="D933" t="s">
        <v>41</v>
      </c>
      <c r="E933">
        <v>4.2</v>
      </c>
      <c r="F933">
        <v>1.1000000000000001</v>
      </c>
      <c r="G933">
        <v>2.68</v>
      </c>
      <c r="H933">
        <v>0.3</v>
      </c>
      <c r="I933" t="s">
        <v>39</v>
      </c>
      <c r="J933">
        <v>10</v>
      </c>
      <c r="K933">
        <v>9</v>
      </c>
      <c r="L933">
        <v>4</v>
      </c>
      <c r="M933">
        <v>1</v>
      </c>
    </row>
    <row r="934" spans="1:13" x14ac:dyDescent="0.25">
      <c r="A934">
        <v>16</v>
      </c>
      <c r="B934" t="s">
        <v>37</v>
      </c>
      <c r="C934">
        <v>6.6</v>
      </c>
      <c r="D934" t="s">
        <v>35</v>
      </c>
      <c r="E934">
        <v>6.1</v>
      </c>
      <c r="F934">
        <v>1.7</v>
      </c>
      <c r="G934">
        <v>2.67</v>
      </c>
      <c r="H934">
        <v>1.8</v>
      </c>
      <c r="I934" t="s">
        <v>36</v>
      </c>
      <c r="J934">
        <v>10</v>
      </c>
      <c r="K934">
        <v>8</v>
      </c>
      <c r="L934">
        <v>2</v>
      </c>
      <c r="M934">
        <v>0</v>
      </c>
    </row>
    <row r="935" spans="1:13" x14ac:dyDescent="0.25">
      <c r="A935">
        <v>14</v>
      </c>
      <c r="B935" t="s">
        <v>37</v>
      </c>
      <c r="C935">
        <v>3.5</v>
      </c>
      <c r="D935" t="s">
        <v>41</v>
      </c>
      <c r="E935">
        <v>5.7</v>
      </c>
      <c r="F935">
        <v>2.4</v>
      </c>
      <c r="G935">
        <v>3.46</v>
      </c>
      <c r="H935">
        <v>0.9</v>
      </c>
      <c r="I935" t="s">
        <v>36</v>
      </c>
      <c r="J935">
        <v>8</v>
      </c>
      <c r="K935">
        <v>4</v>
      </c>
      <c r="L935">
        <v>10</v>
      </c>
      <c r="M935">
        <v>0</v>
      </c>
    </row>
    <row r="936" spans="1:13" x14ac:dyDescent="0.25">
      <c r="A936">
        <v>14</v>
      </c>
      <c r="B936" t="s">
        <v>37</v>
      </c>
      <c r="C936">
        <v>2.4</v>
      </c>
      <c r="D936" t="s">
        <v>38</v>
      </c>
      <c r="E936">
        <v>6.3</v>
      </c>
      <c r="F936">
        <v>2.8</v>
      </c>
      <c r="G936">
        <v>2.41</v>
      </c>
      <c r="H936">
        <v>0.7</v>
      </c>
      <c r="I936" t="s">
        <v>36</v>
      </c>
      <c r="J936">
        <v>9</v>
      </c>
      <c r="K936">
        <v>5</v>
      </c>
      <c r="L936">
        <v>2</v>
      </c>
      <c r="M936">
        <v>0</v>
      </c>
    </row>
    <row r="937" spans="1:13" x14ac:dyDescent="0.25">
      <c r="A937">
        <v>13</v>
      </c>
      <c r="B937" t="s">
        <v>34</v>
      </c>
      <c r="C937">
        <v>5.9</v>
      </c>
      <c r="D937" t="s">
        <v>35</v>
      </c>
      <c r="E937">
        <v>4.3</v>
      </c>
      <c r="F937">
        <v>0.8</v>
      </c>
      <c r="G937">
        <v>3.41</v>
      </c>
      <c r="H937">
        <v>1.1000000000000001</v>
      </c>
      <c r="I937" t="s">
        <v>40</v>
      </c>
      <c r="J937">
        <v>4</v>
      </c>
      <c r="K937">
        <v>3</v>
      </c>
      <c r="L937">
        <v>2</v>
      </c>
      <c r="M937">
        <v>0</v>
      </c>
    </row>
    <row r="938" spans="1:13" x14ac:dyDescent="0.25">
      <c r="A938">
        <v>19</v>
      </c>
      <c r="B938" t="s">
        <v>37</v>
      </c>
      <c r="C938">
        <v>7.4</v>
      </c>
      <c r="D938" t="s">
        <v>35</v>
      </c>
      <c r="E938">
        <v>5</v>
      </c>
      <c r="F938">
        <v>2</v>
      </c>
      <c r="G938">
        <v>2.68</v>
      </c>
      <c r="H938">
        <v>1.2</v>
      </c>
      <c r="I938" t="s">
        <v>36</v>
      </c>
      <c r="J938">
        <v>1</v>
      </c>
      <c r="K938">
        <v>6</v>
      </c>
      <c r="L938">
        <v>8</v>
      </c>
      <c r="M938">
        <v>0</v>
      </c>
    </row>
    <row r="939" spans="1:13" x14ac:dyDescent="0.25">
      <c r="A939">
        <v>15</v>
      </c>
      <c r="B939" t="s">
        <v>37</v>
      </c>
      <c r="C939">
        <v>4.5999999999999996</v>
      </c>
      <c r="D939" t="s">
        <v>38</v>
      </c>
      <c r="E939">
        <v>5.3</v>
      </c>
      <c r="F939">
        <v>3</v>
      </c>
      <c r="G939">
        <v>3.25</v>
      </c>
      <c r="H939">
        <v>0.2</v>
      </c>
      <c r="I939" t="s">
        <v>36</v>
      </c>
      <c r="J939">
        <v>1</v>
      </c>
      <c r="K939">
        <v>8</v>
      </c>
      <c r="L939">
        <v>7</v>
      </c>
      <c r="M939">
        <v>0</v>
      </c>
    </row>
    <row r="940" spans="1:13" x14ac:dyDescent="0.25">
      <c r="A940">
        <v>17</v>
      </c>
      <c r="B940" t="s">
        <v>34</v>
      </c>
      <c r="C940">
        <v>7.3</v>
      </c>
      <c r="D940" t="s">
        <v>35</v>
      </c>
      <c r="E940">
        <v>5.8</v>
      </c>
      <c r="F940">
        <v>2.9</v>
      </c>
      <c r="G940">
        <v>3.93</v>
      </c>
      <c r="H940">
        <v>0.9</v>
      </c>
      <c r="I940" t="s">
        <v>40</v>
      </c>
      <c r="J940">
        <v>6</v>
      </c>
      <c r="K940">
        <v>2</v>
      </c>
      <c r="L940">
        <v>9</v>
      </c>
      <c r="M940">
        <v>0</v>
      </c>
    </row>
    <row r="941" spans="1:13" x14ac:dyDescent="0.25">
      <c r="A941">
        <v>17</v>
      </c>
      <c r="B941" t="s">
        <v>37</v>
      </c>
      <c r="C941">
        <v>2.9</v>
      </c>
      <c r="D941" t="s">
        <v>38</v>
      </c>
      <c r="E941">
        <v>4.5</v>
      </c>
      <c r="F941">
        <v>0.9</v>
      </c>
      <c r="G941">
        <v>3.71</v>
      </c>
      <c r="H941">
        <v>0.1</v>
      </c>
      <c r="I941" t="s">
        <v>36</v>
      </c>
      <c r="J941">
        <v>1</v>
      </c>
      <c r="K941">
        <v>6</v>
      </c>
      <c r="L941">
        <v>4</v>
      </c>
      <c r="M941">
        <v>0</v>
      </c>
    </row>
    <row r="942" spans="1:13" x14ac:dyDescent="0.25">
      <c r="A942">
        <v>19</v>
      </c>
      <c r="B942" t="s">
        <v>34</v>
      </c>
      <c r="C942">
        <v>5.3</v>
      </c>
      <c r="D942" t="s">
        <v>38</v>
      </c>
      <c r="E942">
        <v>8.4</v>
      </c>
      <c r="F942">
        <v>0.6</v>
      </c>
      <c r="G942">
        <v>3.08</v>
      </c>
      <c r="H942">
        <v>0.4</v>
      </c>
      <c r="I942" t="s">
        <v>40</v>
      </c>
      <c r="J942">
        <v>9</v>
      </c>
      <c r="K942">
        <v>4</v>
      </c>
      <c r="L942">
        <v>6</v>
      </c>
      <c r="M942">
        <v>0</v>
      </c>
    </row>
    <row r="943" spans="1:13" x14ac:dyDescent="0.25">
      <c r="A943">
        <v>17</v>
      </c>
      <c r="B943" t="s">
        <v>37</v>
      </c>
      <c r="C943">
        <v>7.2</v>
      </c>
      <c r="D943" t="s">
        <v>38</v>
      </c>
      <c r="E943">
        <v>8.1999999999999993</v>
      </c>
      <c r="F943">
        <v>2.9</v>
      </c>
      <c r="G943">
        <v>3.69</v>
      </c>
      <c r="H943">
        <v>1</v>
      </c>
      <c r="I943" t="s">
        <v>39</v>
      </c>
      <c r="J943">
        <v>6</v>
      </c>
      <c r="K943">
        <v>2</v>
      </c>
      <c r="L943">
        <v>5</v>
      </c>
      <c r="M943">
        <v>0</v>
      </c>
    </row>
    <row r="944" spans="1:13" x14ac:dyDescent="0.25">
      <c r="A944">
        <v>15</v>
      </c>
      <c r="B944" t="s">
        <v>37</v>
      </c>
      <c r="C944">
        <v>2.6</v>
      </c>
      <c r="D944" t="s">
        <v>41</v>
      </c>
      <c r="E944">
        <v>7.9</v>
      </c>
      <c r="F944">
        <v>1.8</v>
      </c>
      <c r="G944">
        <v>3.91</v>
      </c>
      <c r="H944">
        <v>0.5</v>
      </c>
      <c r="I944" t="s">
        <v>40</v>
      </c>
      <c r="J944">
        <v>4</v>
      </c>
      <c r="K944">
        <v>5</v>
      </c>
      <c r="L944">
        <v>6</v>
      </c>
      <c r="M944">
        <v>0</v>
      </c>
    </row>
    <row r="945" spans="1:13" x14ac:dyDescent="0.25">
      <c r="A945">
        <v>15</v>
      </c>
      <c r="B945" t="s">
        <v>34</v>
      </c>
      <c r="C945">
        <v>3.6</v>
      </c>
      <c r="D945" t="s">
        <v>35</v>
      </c>
      <c r="E945">
        <v>4.8</v>
      </c>
      <c r="F945">
        <v>1</v>
      </c>
      <c r="G945">
        <v>3.71</v>
      </c>
      <c r="H945">
        <v>1.1000000000000001</v>
      </c>
      <c r="I945" t="s">
        <v>40</v>
      </c>
      <c r="J945">
        <v>5</v>
      </c>
      <c r="K945">
        <v>7</v>
      </c>
      <c r="L945">
        <v>4</v>
      </c>
      <c r="M945">
        <v>0</v>
      </c>
    </row>
    <row r="946" spans="1:13" x14ac:dyDescent="0.25">
      <c r="A946">
        <v>19</v>
      </c>
      <c r="B946" t="s">
        <v>34</v>
      </c>
      <c r="C946">
        <v>3.6</v>
      </c>
      <c r="D946" t="s">
        <v>35</v>
      </c>
      <c r="E946">
        <v>6.5</v>
      </c>
      <c r="F946">
        <v>1.1000000000000001</v>
      </c>
      <c r="G946">
        <v>3.65</v>
      </c>
      <c r="H946">
        <v>1.1000000000000001</v>
      </c>
      <c r="I946" t="s">
        <v>36</v>
      </c>
      <c r="J946">
        <v>5</v>
      </c>
      <c r="K946">
        <v>9</v>
      </c>
      <c r="L946">
        <v>10</v>
      </c>
      <c r="M946">
        <v>0</v>
      </c>
    </row>
    <row r="947" spans="1:13" x14ac:dyDescent="0.25">
      <c r="A947">
        <v>15</v>
      </c>
      <c r="B947" t="s">
        <v>37</v>
      </c>
      <c r="C947">
        <v>1.8</v>
      </c>
      <c r="D947" t="s">
        <v>35</v>
      </c>
      <c r="E947">
        <v>5.5</v>
      </c>
      <c r="F947">
        <v>1.6</v>
      </c>
      <c r="G947">
        <v>3.29</v>
      </c>
      <c r="H947">
        <v>1.3</v>
      </c>
      <c r="I947" t="s">
        <v>40</v>
      </c>
      <c r="J947">
        <v>6</v>
      </c>
      <c r="K947">
        <v>5</v>
      </c>
      <c r="L947">
        <v>9</v>
      </c>
      <c r="M947">
        <v>0</v>
      </c>
    </row>
    <row r="948" spans="1:13" x14ac:dyDescent="0.25">
      <c r="A948">
        <v>14</v>
      </c>
      <c r="B948" t="s">
        <v>37</v>
      </c>
      <c r="C948">
        <v>1.8</v>
      </c>
      <c r="D948" t="s">
        <v>35</v>
      </c>
      <c r="E948">
        <v>7.6</v>
      </c>
      <c r="F948">
        <v>1.2</v>
      </c>
      <c r="G948">
        <v>2.84</v>
      </c>
      <c r="H948">
        <v>1.1000000000000001</v>
      </c>
      <c r="I948" t="s">
        <v>39</v>
      </c>
      <c r="J948">
        <v>10</v>
      </c>
      <c r="K948">
        <v>1</v>
      </c>
      <c r="L948">
        <v>3</v>
      </c>
      <c r="M948">
        <v>0</v>
      </c>
    </row>
    <row r="949" spans="1:13" x14ac:dyDescent="0.25">
      <c r="A949">
        <v>15</v>
      </c>
      <c r="B949" t="s">
        <v>37</v>
      </c>
      <c r="C949">
        <v>7.4</v>
      </c>
      <c r="D949" t="s">
        <v>41</v>
      </c>
      <c r="E949">
        <v>8.4</v>
      </c>
      <c r="F949">
        <v>1.9</v>
      </c>
      <c r="G949">
        <v>3.73</v>
      </c>
      <c r="H949">
        <v>0.8</v>
      </c>
      <c r="I949" t="s">
        <v>39</v>
      </c>
      <c r="J949">
        <v>9</v>
      </c>
      <c r="K949">
        <v>9</v>
      </c>
      <c r="L949">
        <v>4</v>
      </c>
      <c r="M949">
        <v>0</v>
      </c>
    </row>
    <row r="950" spans="1:13" x14ac:dyDescent="0.25">
      <c r="A950">
        <v>15</v>
      </c>
      <c r="B950" t="s">
        <v>34</v>
      </c>
      <c r="C950">
        <v>4.8</v>
      </c>
      <c r="D950" t="s">
        <v>41</v>
      </c>
      <c r="E950">
        <v>4.3</v>
      </c>
      <c r="F950">
        <v>2.2000000000000002</v>
      </c>
      <c r="G950">
        <v>2.5</v>
      </c>
      <c r="H950">
        <v>0</v>
      </c>
      <c r="I950" t="s">
        <v>40</v>
      </c>
      <c r="J950">
        <v>4</v>
      </c>
      <c r="K950">
        <v>1</v>
      </c>
      <c r="L950">
        <v>4</v>
      </c>
      <c r="M950">
        <v>0</v>
      </c>
    </row>
    <row r="951" spans="1:13" x14ac:dyDescent="0.25">
      <c r="A951">
        <v>18</v>
      </c>
      <c r="B951" t="s">
        <v>34</v>
      </c>
      <c r="C951">
        <v>2.4</v>
      </c>
      <c r="D951" t="s">
        <v>41</v>
      </c>
      <c r="E951">
        <v>6.8</v>
      </c>
      <c r="F951">
        <v>1</v>
      </c>
      <c r="G951">
        <v>2.86</v>
      </c>
      <c r="H951">
        <v>1.5</v>
      </c>
      <c r="I951" t="s">
        <v>39</v>
      </c>
      <c r="J951">
        <v>9</v>
      </c>
      <c r="K951">
        <v>10</v>
      </c>
      <c r="L951">
        <v>8</v>
      </c>
      <c r="M951">
        <v>0</v>
      </c>
    </row>
    <row r="952" spans="1:13" x14ac:dyDescent="0.25">
      <c r="A952">
        <v>15</v>
      </c>
      <c r="B952" t="s">
        <v>34</v>
      </c>
      <c r="C952">
        <v>5.4</v>
      </c>
      <c r="D952" t="s">
        <v>38</v>
      </c>
      <c r="E952">
        <v>5.2</v>
      </c>
      <c r="F952">
        <v>0.6</v>
      </c>
      <c r="G952">
        <v>3.65</v>
      </c>
      <c r="H952">
        <v>1.5</v>
      </c>
      <c r="I952" t="s">
        <v>36</v>
      </c>
      <c r="J952">
        <v>7</v>
      </c>
      <c r="K952">
        <v>9</v>
      </c>
      <c r="L952">
        <v>10</v>
      </c>
      <c r="M952">
        <v>1</v>
      </c>
    </row>
    <row r="953" spans="1:13" x14ac:dyDescent="0.25">
      <c r="A953">
        <v>17</v>
      </c>
      <c r="B953" t="s">
        <v>37</v>
      </c>
      <c r="C953">
        <v>3.5</v>
      </c>
      <c r="D953" t="s">
        <v>41</v>
      </c>
      <c r="E953">
        <v>8.5</v>
      </c>
      <c r="F953">
        <v>2.2000000000000002</v>
      </c>
      <c r="G953">
        <v>2.11</v>
      </c>
      <c r="H953">
        <v>1.3</v>
      </c>
      <c r="I953" t="s">
        <v>40</v>
      </c>
      <c r="J953">
        <v>8</v>
      </c>
      <c r="K953">
        <v>8</v>
      </c>
      <c r="L953">
        <v>2</v>
      </c>
      <c r="M953">
        <v>0</v>
      </c>
    </row>
    <row r="954" spans="1:13" x14ac:dyDescent="0.25">
      <c r="A954">
        <v>18</v>
      </c>
      <c r="B954" t="s">
        <v>37</v>
      </c>
      <c r="C954">
        <v>3</v>
      </c>
      <c r="D954" t="s">
        <v>35</v>
      </c>
      <c r="E954">
        <v>5</v>
      </c>
      <c r="F954">
        <v>2</v>
      </c>
      <c r="G954">
        <v>2.4500000000000002</v>
      </c>
      <c r="H954">
        <v>1.2</v>
      </c>
      <c r="I954" t="s">
        <v>40</v>
      </c>
      <c r="J954">
        <v>1</v>
      </c>
      <c r="K954">
        <v>10</v>
      </c>
      <c r="L954">
        <v>7</v>
      </c>
      <c r="M954">
        <v>0</v>
      </c>
    </row>
    <row r="955" spans="1:13" x14ac:dyDescent="0.25">
      <c r="A955">
        <v>13</v>
      </c>
      <c r="B955" t="s">
        <v>37</v>
      </c>
      <c r="C955">
        <v>3.3</v>
      </c>
      <c r="D955" t="s">
        <v>41</v>
      </c>
      <c r="E955">
        <v>7.4</v>
      </c>
      <c r="F955">
        <v>0.9</v>
      </c>
      <c r="G955">
        <v>2.5299999999999998</v>
      </c>
      <c r="H955">
        <v>0.2</v>
      </c>
      <c r="I955" t="s">
        <v>40</v>
      </c>
      <c r="J955">
        <v>4</v>
      </c>
      <c r="K955">
        <v>10</v>
      </c>
      <c r="L955">
        <v>6</v>
      </c>
      <c r="M955">
        <v>0</v>
      </c>
    </row>
    <row r="956" spans="1:13" x14ac:dyDescent="0.25">
      <c r="A956">
        <v>19</v>
      </c>
      <c r="B956" t="s">
        <v>34</v>
      </c>
      <c r="C956">
        <v>5.5</v>
      </c>
      <c r="D956" t="s">
        <v>38</v>
      </c>
      <c r="E956">
        <v>5.0999999999999996</v>
      </c>
      <c r="F956">
        <v>2.7</v>
      </c>
      <c r="G956">
        <v>2.56</v>
      </c>
      <c r="H956">
        <v>1.4</v>
      </c>
      <c r="I956" t="s">
        <v>36</v>
      </c>
      <c r="J956">
        <v>2</v>
      </c>
      <c r="K956">
        <v>3</v>
      </c>
      <c r="L956">
        <v>7</v>
      </c>
      <c r="M956">
        <v>0</v>
      </c>
    </row>
    <row r="957" spans="1:13" x14ac:dyDescent="0.25">
      <c r="A957">
        <v>15</v>
      </c>
      <c r="B957" t="s">
        <v>34</v>
      </c>
      <c r="C957">
        <v>3.8</v>
      </c>
      <c r="D957" t="s">
        <v>41</v>
      </c>
      <c r="E957">
        <v>8.3000000000000007</v>
      </c>
      <c r="F957">
        <v>2.6</v>
      </c>
      <c r="G957">
        <v>3.19</v>
      </c>
      <c r="H957">
        <v>2</v>
      </c>
      <c r="I957" t="s">
        <v>40</v>
      </c>
      <c r="J957">
        <v>1</v>
      </c>
      <c r="K957">
        <v>2</v>
      </c>
      <c r="L957">
        <v>2</v>
      </c>
      <c r="M957">
        <v>0</v>
      </c>
    </row>
    <row r="958" spans="1:13" x14ac:dyDescent="0.25">
      <c r="A958">
        <v>17</v>
      </c>
      <c r="B958" t="s">
        <v>34</v>
      </c>
      <c r="C958">
        <v>5.7</v>
      </c>
      <c r="D958" t="s">
        <v>38</v>
      </c>
      <c r="E958">
        <v>8.6999999999999993</v>
      </c>
      <c r="F958">
        <v>2</v>
      </c>
      <c r="G958">
        <v>3.14</v>
      </c>
      <c r="H958">
        <v>1.7</v>
      </c>
      <c r="I958" t="s">
        <v>36</v>
      </c>
      <c r="J958">
        <v>1</v>
      </c>
      <c r="K958">
        <v>9</v>
      </c>
      <c r="L958">
        <v>8</v>
      </c>
      <c r="M958">
        <v>0</v>
      </c>
    </row>
    <row r="959" spans="1:13" x14ac:dyDescent="0.25">
      <c r="A959">
        <v>13</v>
      </c>
      <c r="B959" t="s">
        <v>37</v>
      </c>
      <c r="C959">
        <v>4.7</v>
      </c>
      <c r="D959" t="s">
        <v>38</v>
      </c>
      <c r="E959">
        <v>8</v>
      </c>
      <c r="F959">
        <v>1.1000000000000001</v>
      </c>
      <c r="G959">
        <v>2.37</v>
      </c>
      <c r="H959">
        <v>0.2</v>
      </c>
      <c r="I959" t="s">
        <v>36</v>
      </c>
      <c r="J959">
        <v>5</v>
      </c>
      <c r="K959">
        <v>10</v>
      </c>
      <c r="L959">
        <v>6</v>
      </c>
      <c r="M959">
        <v>0</v>
      </c>
    </row>
    <row r="960" spans="1:13" x14ac:dyDescent="0.25">
      <c r="A960">
        <v>17</v>
      </c>
      <c r="B960" t="s">
        <v>37</v>
      </c>
      <c r="C960">
        <v>4</v>
      </c>
      <c r="D960" t="s">
        <v>35</v>
      </c>
      <c r="E960">
        <v>6.7</v>
      </c>
      <c r="F960">
        <v>0.6</v>
      </c>
      <c r="G960">
        <v>2.5099999999999998</v>
      </c>
      <c r="H960">
        <v>1.5</v>
      </c>
      <c r="I960" t="s">
        <v>39</v>
      </c>
      <c r="J960">
        <v>9</v>
      </c>
      <c r="K960">
        <v>8</v>
      </c>
      <c r="L960">
        <v>5</v>
      </c>
      <c r="M960">
        <v>0</v>
      </c>
    </row>
    <row r="961" spans="1:13" x14ac:dyDescent="0.25">
      <c r="A961">
        <v>16</v>
      </c>
      <c r="B961" t="s">
        <v>34</v>
      </c>
      <c r="C961">
        <v>5.3</v>
      </c>
      <c r="D961" t="s">
        <v>38</v>
      </c>
      <c r="E961">
        <v>6.8</v>
      </c>
      <c r="F961">
        <v>0.7</v>
      </c>
      <c r="G961">
        <v>3.9</v>
      </c>
      <c r="H961">
        <v>1.5</v>
      </c>
      <c r="I961" t="s">
        <v>36</v>
      </c>
      <c r="J961">
        <v>5</v>
      </c>
      <c r="K961">
        <v>8</v>
      </c>
      <c r="L961">
        <v>3</v>
      </c>
      <c r="M961">
        <v>0</v>
      </c>
    </row>
    <row r="962" spans="1:13" x14ac:dyDescent="0.25">
      <c r="A962">
        <v>17</v>
      </c>
      <c r="B962" t="s">
        <v>34</v>
      </c>
      <c r="C962">
        <v>3.8</v>
      </c>
      <c r="D962" t="s">
        <v>35</v>
      </c>
      <c r="E962">
        <v>4.7</v>
      </c>
      <c r="F962">
        <v>1.2</v>
      </c>
      <c r="G962">
        <v>3.7</v>
      </c>
      <c r="H962">
        <v>1.4</v>
      </c>
      <c r="I962" t="s">
        <v>39</v>
      </c>
      <c r="J962">
        <v>2</v>
      </c>
      <c r="K962">
        <v>2</v>
      </c>
      <c r="L962">
        <v>5</v>
      </c>
      <c r="M962">
        <v>0</v>
      </c>
    </row>
    <row r="963" spans="1:13" x14ac:dyDescent="0.25">
      <c r="A963">
        <v>16</v>
      </c>
      <c r="B963" t="s">
        <v>37</v>
      </c>
      <c r="C963">
        <v>6</v>
      </c>
      <c r="D963" t="s">
        <v>41</v>
      </c>
      <c r="E963">
        <v>4.0999999999999996</v>
      </c>
      <c r="F963">
        <v>2.4</v>
      </c>
      <c r="G963">
        <v>2.61</v>
      </c>
      <c r="H963">
        <v>1.1000000000000001</v>
      </c>
      <c r="I963" t="s">
        <v>39</v>
      </c>
      <c r="J963">
        <v>1</v>
      </c>
      <c r="K963">
        <v>6</v>
      </c>
      <c r="L963">
        <v>3</v>
      </c>
      <c r="M963">
        <v>0</v>
      </c>
    </row>
    <row r="964" spans="1:13" x14ac:dyDescent="0.25">
      <c r="A964">
        <v>15</v>
      </c>
      <c r="B964" t="s">
        <v>34</v>
      </c>
      <c r="C964">
        <v>2.2000000000000002</v>
      </c>
      <c r="D964" t="s">
        <v>41</v>
      </c>
      <c r="E964">
        <v>4.5</v>
      </c>
      <c r="F964">
        <v>1.3</v>
      </c>
      <c r="G964">
        <v>2.63</v>
      </c>
      <c r="H964">
        <v>1.7</v>
      </c>
      <c r="I964" t="s">
        <v>36</v>
      </c>
      <c r="J964">
        <v>10</v>
      </c>
      <c r="K964">
        <v>2</v>
      </c>
      <c r="L964">
        <v>6</v>
      </c>
      <c r="M964">
        <v>0</v>
      </c>
    </row>
    <row r="965" spans="1:13" x14ac:dyDescent="0.25">
      <c r="A965">
        <v>18</v>
      </c>
      <c r="B965" t="s">
        <v>34</v>
      </c>
      <c r="C965">
        <v>4.3</v>
      </c>
      <c r="D965" t="s">
        <v>38</v>
      </c>
      <c r="E965">
        <v>8.4</v>
      </c>
      <c r="F965">
        <v>2.1</v>
      </c>
      <c r="G965">
        <v>2.69</v>
      </c>
      <c r="H965">
        <v>0.2</v>
      </c>
      <c r="I965" t="s">
        <v>36</v>
      </c>
      <c r="J965">
        <v>1</v>
      </c>
      <c r="K965">
        <v>10</v>
      </c>
      <c r="L965">
        <v>8</v>
      </c>
      <c r="M965">
        <v>0</v>
      </c>
    </row>
    <row r="966" spans="1:13" x14ac:dyDescent="0.25">
      <c r="A966">
        <v>19</v>
      </c>
      <c r="B966" t="s">
        <v>37</v>
      </c>
      <c r="C966">
        <v>7.5</v>
      </c>
      <c r="D966" t="s">
        <v>38</v>
      </c>
      <c r="E966">
        <v>4.5</v>
      </c>
      <c r="F966">
        <v>2.7</v>
      </c>
      <c r="G966">
        <v>2.41</v>
      </c>
      <c r="H966">
        <v>1</v>
      </c>
      <c r="I966" t="s">
        <v>39</v>
      </c>
      <c r="J966">
        <v>3</v>
      </c>
      <c r="K966">
        <v>2</v>
      </c>
      <c r="L966">
        <v>6</v>
      </c>
      <c r="M966">
        <v>0</v>
      </c>
    </row>
    <row r="967" spans="1:13" x14ac:dyDescent="0.25">
      <c r="A967">
        <v>14</v>
      </c>
      <c r="B967" t="s">
        <v>34</v>
      </c>
      <c r="C967">
        <v>5.3</v>
      </c>
      <c r="D967" t="s">
        <v>35</v>
      </c>
      <c r="E967">
        <v>6.8</v>
      </c>
      <c r="F967">
        <v>2.9</v>
      </c>
      <c r="G967">
        <v>2.1800000000000002</v>
      </c>
      <c r="H967">
        <v>0.8</v>
      </c>
      <c r="I967" t="s">
        <v>40</v>
      </c>
      <c r="J967">
        <v>10</v>
      </c>
      <c r="K967">
        <v>1</v>
      </c>
      <c r="L967">
        <v>6</v>
      </c>
      <c r="M967">
        <v>0</v>
      </c>
    </row>
    <row r="968" spans="1:13" x14ac:dyDescent="0.25">
      <c r="A968">
        <v>14</v>
      </c>
      <c r="B968" t="s">
        <v>37</v>
      </c>
      <c r="C968">
        <v>7</v>
      </c>
      <c r="D968" t="s">
        <v>35</v>
      </c>
      <c r="E968">
        <v>6.9</v>
      </c>
      <c r="F968">
        <v>2.1</v>
      </c>
      <c r="G968">
        <v>3.42</v>
      </c>
      <c r="H968">
        <v>1.1000000000000001</v>
      </c>
      <c r="I968" t="s">
        <v>39</v>
      </c>
      <c r="J968">
        <v>10</v>
      </c>
      <c r="K968">
        <v>3</v>
      </c>
      <c r="L968">
        <v>6</v>
      </c>
      <c r="M968">
        <v>0</v>
      </c>
    </row>
    <row r="969" spans="1:13" x14ac:dyDescent="0.25">
      <c r="A969">
        <v>16</v>
      </c>
      <c r="B969" t="s">
        <v>37</v>
      </c>
      <c r="C969">
        <v>2.1</v>
      </c>
      <c r="D969" t="s">
        <v>41</v>
      </c>
      <c r="E969">
        <v>4.5999999999999996</v>
      </c>
      <c r="F969">
        <v>2</v>
      </c>
      <c r="G969">
        <v>2.5499999999999998</v>
      </c>
      <c r="H969">
        <v>1.8</v>
      </c>
      <c r="I969" t="s">
        <v>39</v>
      </c>
      <c r="J969">
        <v>5</v>
      </c>
      <c r="K969">
        <v>4</v>
      </c>
      <c r="L969">
        <v>4</v>
      </c>
      <c r="M969">
        <v>0</v>
      </c>
    </row>
    <row r="970" spans="1:13" x14ac:dyDescent="0.25">
      <c r="A970">
        <v>18</v>
      </c>
      <c r="B970" t="s">
        <v>37</v>
      </c>
      <c r="C970">
        <v>7.3</v>
      </c>
      <c r="D970" t="s">
        <v>41</v>
      </c>
      <c r="E970">
        <v>7.3</v>
      </c>
      <c r="F970">
        <v>2.8</v>
      </c>
      <c r="G970">
        <v>3.3</v>
      </c>
      <c r="H970">
        <v>0.4</v>
      </c>
      <c r="I970" t="s">
        <v>36</v>
      </c>
      <c r="J970">
        <v>1</v>
      </c>
      <c r="K970">
        <v>8</v>
      </c>
      <c r="L970">
        <v>1</v>
      </c>
      <c r="M970">
        <v>0</v>
      </c>
    </row>
    <row r="971" spans="1:13" x14ac:dyDescent="0.25">
      <c r="A971">
        <v>17</v>
      </c>
      <c r="B971" t="s">
        <v>37</v>
      </c>
      <c r="C971">
        <v>2.6</v>
      </c>
      <c r="D971" t="s">
        <v>35</v>
      </c>
      <c r="E971">
        <v>6.5</v>
      </c>
      <c r="F971">
        <v>1.5</v>
      </c>
      <c r="G971">
        <v>3.8</v>
      </c>
      <c r="H971">
        <v>0.2</v>
      </c>
      <c r="I971" t="s">
        <v>39</v>
      </c>
      <c r="J971">
        <v>8</v>
      </c>
      <c r="K971">
        <v>6</v>
      </c>
      <c r="L971">
        <v>1</v>
      </c>
      <c r="M971">
        <v>0</v>
      </c>
    </row>
    <row r="972" spans="1:13" x14ac:dyDescent="0.25">
      <c r="A972">
        <v>17</v>
      </c>
      <c r="B972" t="s">
        <v>34</v>
      </c>
      <c r="C972">
        <v>5.4</v>
      </c>
      <c r="D972" t="s">
        <v>41</v>
      </c>
      <c r="E972">
        <v>4.9000000000000004</v>
      </c>
      <c r="F972">
        <v>1.5</v>
      </c>
      <c r="G972">
        <v>3.4</v>
      </c>
      <c r="H972">
        <v>0</v>
      </c>
      <c r="I972" t="s">
        <v>40</v>
      </c>
      <c r="J972">
        <v>2</v>
      </c>
      <c r="K972">
        <v>2</v>
      </c>
      <c r="L972">
        <v>1</v>
      </c>
      <c r="M972">
        <v>0</v>
      </c>
    </row>
    <row r="973" spans="1:13" x14ac:dyDescent="0.25">
      <c r="A973">
        <v>15</v>
      </c>
      <c r="B973" t="s">
        <v>34</v>
      </c>
      <c r="C973">
        <v>6.9</v>
      </c>
      <c r="D973" t="s">
        <v>35</v>
      </c>
      <c r="E973">
        <v>6.2</v>
      </c>
      <c r="F973">
        <v>0.6</v>
      </c>
      <c r="G973">
        <v>2.37</v>
      </c>
      <c r="H973">
        <v>0.2</v>
      </c>
      <c r="I973" t="s">
        <v>36</v>
      </c>
      <c r="J973">
        <v>3</v>
      </c>
      <c r="K973">
        <v>1</v>
      </c>
      <c r="L973">
        <v>4</v>
      </c>
      <c r="M973">
        <v>0</v>
      </c>
    </row>
    <row r="974" spans="1:13" x14ac:dyDescent="0.25">
      <c r="A974">
        <v>19</v>
      </c>
      <c r="B974" t="s">
        <v>37</v>
      </c>
      <c r="C974">
        <v>3</v>
      </c>
      <c r="D974" t="s">
        <v>35</v>
      </c>
      <c r="E974">
        <v>5.5</v>
      </c>
      <c r="F974">
        <v>2.1</v>
      </c>
      <c r="G974">
        <v>3.08</v>
      </c>
      <c r="H974">
        <v>0.7</v>
      </c>
      <c r="I974" t="s">
        <v>36</v>
      </c>
      <c r="J974">
        <v>9</v>
      </c>
      <c r="K974">
        <v>3</v>
      </c>
      <c r="L974">
        <v>5</v>
      </c>
      <c r="M974">
        <v>0</v>
      </c>
    </row>
    <row r="975" spans="1:13" x14ac:dyDescent="0.25">
      <c r="A975">
        <v>18</v>
      </c>
      <c r="B975" t="s">
        <v>34</v>
      </c>
      <c r="C975">
        <v>1.3</v>
      </c>
      <c r="D975" t="s">
        <v>35</v>
      </c>
      <c r="E975">
        <v>4.5</v>
      </c>
      <c r="F975">
        <v>2.2999999999999998</v>
      </c>
      <c r="G975">
        <v>2.2799999999999998</v>
      </c>
      <c r="H975">
        <v>1</v>
      </c>
      <c r="I975" t="s">
        <v>36</v>
      </c>
      <c r="J975">
        <v>2</v>
      </c>
      <c r="K975">
        <v>7</v>
      </c>
      <c r="L975">
        <v>8</v>
      </c>
      <c r="M975">
        <v>0</v>
      </c>
    </row>
    <row r="976" spans="1:13" x14ac:dyDescent="0.25">
      <c r="A976">
        <v>15</v>
      </c>
      <c r="B976" t="s">
        <v>34</v>
      </c>
      <c r="C976">
        <v>6.2</v>
      </c>
      <c r="D976" t="s">
        <v>41</v>
      </c>
      <c r="E976">
        <v>6.4</v>
      </c>
      <c r="F976">
        <v>1.4</v>
      </c>
      <c r="G976">
        <v>3.34</v>
      </c>
      <c r="H976">
        <v>0.9</v>
      </c>
      <c r="I976" t="s">
        <v>39</v>
      </c>
      <c r="J976">
        <v>8</v>
      </c>
      <c r="K976">
        <v>9</v>
      </c>
      <c r="L976">
        <v>9</v>
      </c>
      <c r="M976">
        <v>0</v>
      </c>
    </row>
    <row r="977" spans="1:13" x14ac:dyDescent="0.25">
      <c r="A977">
        <v>15</v>
      </c>
      <c r="B977" t="s">
        <v>34</v>
      </c>
      <c r="C977">
        <v>3.6</v>
      </c>
      <c r="D977" t="s">
        <v>35</v>
      </c>
      <c r="E977">
        <v>5.5</v>
      </c>
      <c r="F977">
        <v>1.2</v>
      </c>
      <c r="G977">
        <v>2.4900000000000002</v>
      </c>
      <c r="H977">
        <v>1.9</v>
      </c>
      <c r="I977" t="s">
        <v>36</v>
      </c>
      <c r="J977">
        <v>1</v>
      </c>
      <c r="K977">
        <v>4</v>
      </c>
      <c r="L977">
        <v>9</v>
      </c>
      <c r="M977">
        <v>0</v>
      </c>
    </row>
    <row r="978" spans="1:13" x14ac:dyDescent="0.25">
      <c r="A978">
        <v>18</v>
      </c>
      <c r="B978" t="s">
        <v>37</v>
      </c>
      <c r="C978">
        <v>6.5</v>
      </c>
      <c r="D978" t="s">
        <v>41</v>
      </c>
      <c r="E978">
        <v>6.7</v>
      </c>
      <c r="F978">
        <v>2.5</v>
      </c>
      <c r="G978">
        <v>2.98</v>
      </c>
      <c r="H978">
        <v>0.1</v>
      </c>
      <c r="I978" t="s">
        <v>39</v>
      </c>
      <c r="J978">
        <v>9</v>
      </c>
      <c r="K978">
        <v>7</v>
      </c>
      <c r="L978">
        <v>7</v>
      </c>
      <c r="M978">
        <v>0</v>
      </c>
    </row>
    <row r="979" spans="1:13" x14ac:dyDescent="0.25">
      <c r="A979">
        <v>17</v>
      </c>
      <c r="B979" t="s">
        <v>37</v>
      </c>
      <c r="C979">
        <v>5.3</v>
      </c>
      <c r="D979" t="s">
        <v>35</v>
      </c>
      <c r="E979">
        <v>6.6</v>
      </c>
      <c r="F979">
        <v>0.6</v>
      </c>
      <c r="G979">
        <v>3.04</v>
      </c>
      <c r="H979">
        <v>0.1</v>
      </c>
      <c r="I979" t="s">
        <v>39</v>
      </c>
      <c r="J979">
        <v>3</v>
      </c>
      <c r="K979">
        <v>7</v>
      </c>
      <c r="L979">
        <v>1</v>
      </c>
      <c r="M979">
        <v>0</v>
      </c>
    </row>
    <row r="980" spans="1:13" x14ac:dyDescent="0.25">
      <c r="A980">
        <v>16</v>
      </c>
      <c r="B980" t="s">
        <v>34</v>
      </c>
      <c r="C980">
        <v>4.5999999999999996</v>
      </c>
      <c r="D980" t="s">
        <v>41</v>
      </c>
      <c r="E980">
        <v>5.3</v>
      </c>
      <c r="F980">
        <v>1.3</v>
      </c>
      <c r="G980">
        <v>3.76</v>
      </c>
      <c r="H980">
        <v>0.5</v>
      </c>
      <c r="I980" t="s">
        <v>40</v>
      </c>
      <c r="J980">
        <v>3</v>
      </c>
      <c r="K980">
        <v>8</v>
      </c>
      <c r="L980">
        <v>8</v>
      </c>
      <c r="M980">
        <v>0</v>
      </c>
    </row>
    <row r="981" spans="1:13" x14ac:dyDescent="0.25">
      <c r="A981">
        <v>18</v>
      </c>
      <c r="B981" t="s">
        <v>34</v>
      </c>
      <c r="C981">
        <v>7.7</v>
      </c>
      <c r="D981" t="s">
        <v>41</v>
      </c>
      <c r="E981">
        <v>6.6</v>
      </c>
      <c r="F981">
        <v>1.6</v>
      </c>
      <c r="G981">
        <v>4</v>
      </c>
      <c r="H981">
        <v>1.9</v>
      </c>
      <c r="I981" t="s">
        <v>39</v>
      </c>
      <c r="J981">
        <v>3</v>
      </c>
      <c r="K981">
        <v>3</v>
      </c>
      <c r="L981">
        <v>9</v>
      </c>
      <c r="M981">
        <v>0</v>
      </c>
    </row>
    <row r="982" spans="1:13" x14ac:dyDescent="0.25">
      <c r="A982">
        <v>19</v>
      </c>
      <c r="B982" t="s">
        <v>34</v>
      </c>
      <c r="C982">
        <v>7.1</v>
      </c>
      <c r="D982" t="s">
        <v>38</v>
      </c>
      <c r="E982">
        <v>8.4</v>
      </c>
      <c r="F982">
        <v>1.8</v>
      </c>
      <c r="G982">
        <v>2.93</v>
      </c>
      <c r="H982">
        <v>1.3</v>
      </c>
      <c r="I982" t="s">
        <v>40</v>
      </c>
      <c r="J982">
        <v>1</v>
      </c>
      <c r="K982">
        <v>6</v>
      </c>
      <c r="L982">
        <v>8</v>
      </c>
      <c r="M982">
        <v>0</v>
      </c>
    </row>
    <row r="983" spans="1:13" x14ac:dyDescent="0.25">
      <c r="A983">
        <v>16</v>
      </c>
      <c r="B983" t="s">
        <v>34</v>
      </c>
      <c r="C983">
        <v>3.9</v>
      </c>
      <c r="D983" t="s">
        <v>38</v>
      </c>
      <c r="E983">
        <v>7.5</v>
      </c>
      <c r="F983">
        <v>2.1</v>
      </c>
      <c r="G983">
        <v>3.24</v>
      </c>
      <c r="H983">
        <v>0.9</v>
      </c>
      <c r="I983" t="s">
        <v>36</v>
      </c>
      <c r="J983">
        <v>4</v>
      </c>
      <c r="K983">
        <v>3</v>
      </c>
      <c r="L983">
        <v>2</v>
      </c>
      <c r="M983">
        <v>0</v>
      </c>
    </row>
    <row r="984" spans="1:13" x14ac:dyDescent="0.25">
      <c r="A984">
        <v>19</v>
      </c>
      <c r="B984" t="s">
        <v>37</v>
      </c>
      <c r="C984">
        <v>7.5</v>
      </c>
      <c r="D984" t="s">
        <v>38</v>
      </c>
      <c r="E984">
        <v>8.6</v>
      </c>
      <c r="F984">
        <v>0.9</v>
      </c>
      <c r="G984">
        <v>2.25</v>
      </c>
      <c r="H984">
        <v>1.6</v>
      </c>
      <c r="I984" t="s">
        <v>39</v>
      </c>
      <c r="J984">
        <v>9</v>
      </c>
      <c r="K984">
        <v>8</v>
      </c>
      <c r="L984">
        <v>4</v>
      </c>
      <c r="M984">
        <v>0</v>
      </c>
    </row>
    <row r="985" spans="1:13" x14ac:dyDescent="0.25">
      <c r="A985">
        <v>18</v>
      </c>
      <c r="B985" t="s">
        <v>34</v>
      </c>
      <c r="C985">
        <v>5.8</v>
      </c>
      <c r="D985" t="s">
        <v>38</v>
      </c>
      <c r="E985">
        <v>7.5</v>
      </c>
      <c r="F985">
        <v>2.2000000000000002</v>
      </c>
      <c r="G985">
        <v>3.65</v>
      </c>
      <c r="H985">
        <v>1.4</v>
      </c>
      <c r="I985" t="s">
        <v>40</v>
      </c>
      <c r="J985">
        <v>4</v>
      </c>
      <c r="K985">
        <v>4</v>
      </c>
      <c r="L985">
        <v>8</v>
      </c>
      <c r="M985">
        <v>0</v>
      </c>
    </row>
    <row r="986" spans="1:13" x14ac:dyDescent="0.25">
      <c r="A986">
        <v>17</v>
      </c>
      <c r="B986" t="s">
        <v>37</v>
      </c>
      <c r="C986">
        <v>7.6</v>
      </c>
      <c r="D986" t="s">
        <v>35</v>
      </c>
      <c r="E986">
        <v>7.3</v>
      </c>
      <c r="F986">
        <v>2.9</v>
      </c>
      <c r="G986">
        <v>2.99</v>
      </c>
      <c r="H986">
        <v>1.2</v>
      </c>
      <c r="I986" t="s">
        <v>39</v>
      </c>
      <c r="J986">
        <v>4</v>
      </c>
      <c r="K986">
        <v>8</v>
      </c>
      <c r="L986">
        <v>10</v>
      </c>
      <c r="M986">
        <v>0</v>
      </c>
    </row>
    <row r="987" spans="1:13" x14ac:dyDescent="0.25">
      <c r="A987">
        <v>19</v>
      </c>
      <c r="B987" t="s">
        <v>37</v>
      </c>
      <c r="C987">
        <v>4.4000000000000004</v>
      </c>
      <c r="D987" t="s">
        <v>35</v>
      </c>
      <c r="E987">
        <v>7.4</v>
      </c>
      <c r="F987">
        <v>2.8</v>
      </c>
      <c r="G987">
        <v>3.28</v>
      </c>
      <c r="H987">
        <v>1.5</v>
      </c>
      <c r="I987" t="s">
        <v>40</v>
      </c>
      <c r="J987">
        <v>7</v>
      </c>
      <c r="K987">
        <v>5</v>
      </c>
      <c r="L987">
        <v>4</v>
      </c>
      <c r="M987">
        <v>0</v>
      </c>
    </row>
    <row r="988" spans="1:13" x14ac:dyDescent="0.25">
      <c r="A988">
        <v>19</v>
      </c>
      <c r="B988" t="s">
        <v>34</v>
      </c>
      <c r="C988">
        <v>4.5999999999999996</v>
      </c>
      <c r="D988" t="s">
        <v>41</v>
      </c>
      <c r="E988">
        <v>4.5999999999999996</v>
      </c>
      <c r="F988">
        <v>2.5</v>
      </c>
      <c r="G988">
        <v>2.4</v>
      </c>
      <c r="H988">
        <v>1</v>
      </c>
      <c r="I988" t="s">
        <v>39</v>
      </c>
      <c r="J988">
        <v>10</v>
      </c>
      <c r="K988">
        <v>10</v>
      </c>
      <c r="L988">
        <v>8</v>
      </c>
      <c r="M988">
        <v>0</v>
      </c>
    </row>
    <row r="989" spans="1:13" x14ac:dyDescent="0.25">
      <c r="A989">
        <v>18</v>
      </c>
      <c r="B989" t="s">
        <v>37</v>
      </c>
      <c r="C989">
        <v>7</v>
      </c>
      <c r="D989" t="s">
        <v>41</v>
      </c>
      <c r="E989">
        <v>8.9</v>
      </c>
      <c r="F989">
        <v>0.7</v>
      </c>
      <c r="G989">
        <v>2.79</v>
      </c>
      <c r="H989">
        <v>0.4</v>
      </c>
      <c r="I989" t="s">
        <v>40</v>
      </c>
      <c r="J989">
        <v>2</v>
      </c>
      <c r="K989">
        <v>10</v>
      </c>
      <c r="L989">
        <v>8</v>
      </c>
      <c r="M989">
        <v>0</v>
      </c>
    </row>
    <row r="990" spans="1:13" x14ac:dyDescent="0.25">
      <c r="A990">
        <v>16</v>
      </c>
      <c r="B990" t="s">
        <v>37</v>
      </c>
      <c r="C990">
        <v>3.6</v>
      </c>
      <c r="D990" t="s">
        <v>38</v>
      </c>
      <c r="E990">
        <v>8.8000000000000007</v>
      </c>
      <c r="F990">
        <v>1.2</v>
      </c>
      <c r="G990">
        <v>2.3199999999999998</v>
      </c>
      <c r="H990">
        <v>0.5</v>
      </c>
      <c r="I990" t="s">
        <v>36</v>
      </c>
      <c r="J990">
        <v>2</v>
      </c>
      <c r="K990">
        <v>4</v>
      </c>
      <c r="L990">
        <v>5</v>
      </c>
      <c r="M990">
        <v>0</v>
      </c>
    </row>
    <row r="991" spans="1:13" x14ac:dyDescent="0.25">
      <c r="A991">
        <v>15</v>
      </c>
      <c r="B991" t="s">
        <v>37</v>
      </c>
      <c r="C991">
        <v>3</v>
      </c>
      <c r="D991" t="s">
        <v>38</v>
      </c>
      <c r="E991">
        <v>6.6</v>
      </c>
      <c r="F991">
        <v>0.9</v>
      </c>
      <c r="G991">
        <v>2.69</v>
      </c>
      <c r="H991">
        <v>1.8</v>
      </c>
      <c r="I991" t="s">
        <v>40</v>
      </c>
      <c r="J991">
        <v>1</v>
      </c>
      <c r="K991">
        <v>2</v>
      </c>
      <c r="L991">
        <v>2</v>
      </c>
      <c r="M991">
        <v>0</v>
      </c>
    </row>
    <row r="992" spans="1:13" x14ac:dyDescent="0.25">
      <c r="A992">
        <v>19</v>
      </c>
      <c r="B992" t="s">
        <v>37</v>
      </c>
      <c r="C992">
        <v>7.2</v>
      </c>
      <c r="D992" t="s">
        <v>35</v>
      </c>
      <c r="E992">
        <v>6.4</v>
      </c>
      <c r="F992">
        <v>2.9</v>
      </c>
      <c r="G992">
        <v>3.82</v>
      </c>
      <c r="H992">
        <v>1</v>
      </c>
      <c r="I992" t="s">
        <v>40</v>
      </c>
      <c r="J992">
        <v>5</v>
      </c>
      <c r="K992">
        <v>4</v>
      </c>
      <c r="L992">
        <v>5</v>
      </c>
      <c r="M992">
        <v>0</v>
      </c>
    </row>
    <row r="993" spans="1:13" x14ac:dyDescent="0.25">
      <c r="A993">
        <v>15</v>
      </c>
      <c r="B993" t="s">
        <v>37</v>
      </c>
      <c r="C993">
        <v>5.6</v>
      </c>
      <c r="D993" t="s">
        <v>41</v>
      </c>
      <c r="E993">
        <v>5.9</v>
      </c>
      <c r="F993">
        <v>2</v>
      </c>
      <c r="G993">
        <v>2.97</v>
      </c>
      <c r="H993">
        <v>0.6</v>
      </c>
      <c r="I993" t="s">
        <v>36</v>
      </c>
      <c r="J993">
        <v>9</v>
      </c>
      <c r="K993">
        <v>3</v>
      </c>
      <c r="L993">
        <v>3</v>
      </c>
      <c r="M993">
        <v>0</v>
      </c>
    </row>
    <row r="994" spans="1:13" x14ac:dyDescent="0.25">
      <c r="A994">
        <v>14</v>
      </c>
      <c r="B994" t="s">
        <v>37</v>
      </c>
      <c r="C994">
        <v>2</v>
      </c>
      <c r="D994" t="s">
        <v>35</v>
      </c>
      <c r="E994">
        <v>4.7</v>
      </c>
      <c r="F994">
        <v>1.1000000000000001</v>
      </c>
      <c r="G994">
        <v>2.5099999999999998</v>
      </c>
      <c r="H994">
        <v>0</v>
      </c>
      <c r="I994" t="s">
        <v>39</v>
      </c>
      <c r="J994">
        <v>2</v>
      </c>
      <c r="K994">
        <v>9</v>
      </c>
      <c r="L994">
        <v>4</v>
      </c>
      <c r="M994">
        <v>0</v>
      </c>
    </row>
    <row r="995" spans="1:13" x14ac:dyDescent="0.25">
      <c r="A995">
        <v>14</v>
      </c>
      <c r="B995" t="s">
        <v>37</v>
      </c>
      <c r="C995">
        <v>4.4000000000000004</v>
      </c>
      <c r="D995" t="s">
        <v>38</v>
      </c>
      <c r="E995">
        <v>5.0999999999999996</v>
      </c>
      <c r="F995">
        <v>2.8</v>
      </c>
      <c r="G995">
        <v>2.2200000000000002</v>
      </c>
      <c r="H995">
        <v>0.5</v>
      </c>
      <c r="I995" t="s">
        <v>39</v>
      </c>
      <c r="J995">
        <v>5</v>
      </c>
      <c r="K995">
        <v>4</v>
      </c>
      <c r="L995">
        <v>1</v>
      </c>
      <c r="M995">
        <v>0</v>
      </c>
    </row>
    <row r="996" spans="1:13" x14ac:dyDescent="0.25">
      <c r="A996">
        <v>13</v>
      </c>
      <c r="B996" t="s">
        <v>34</v>
      </c>
      <c r="C996">
        <v>3.5</v>
      </c>
      <c r="D996" t="s">
        <v>38</v>
      </c>
      <c r="E996">
        <v>5.8</v>
      </c>
      <c r="F996">
        <v>1.2</v>
      </c>
      <c r="G996">
        <v>2.44</v>
      </c>
      <c r="H996">
        <v>1.5</v>
      </c>
      <c r="I996" t="s">
        <v>40</v>
      </c>
      <c r="J996">
        <v>4</v>
      </c>
      <c r="K996">
        <v>1</v>
      </c>
      <c r="L996">
        <v>8</v>
      </c>
      <c r="M996">
        <v>0</v>
      </c>
    </row>
    <row r="997" spans="1:13" x14ac:dyDescent="0.25">
      <c r="A997">
        <v>13</v>
      </c>
      <c r="B997" t="s">
        <v>34</v>
      </c>
      <c r="C997">
        <v>6.5</v>
      </c>
      <c r="D997" t="s">
        <v>35</v>
      </c>
      <c r="E997">
        <v>6.5</v>
      </c>
      <c r="F997">
        <v>1.5</v>
      </c>
      <c r="G997">
        <v>2.0499999999999998</v>
      </c>
      <c r="H997">
        <v>0.5</v>
      </c>
      <c r="I997" t="s">
        <v>36</v>
      </c>
      <c r="J997">
        <v>3</v>
      </c>
      <c r="K997">
        <v>9</v>
      </c>
      <c r="L997">
        <v>4</v>
      </c>
      <c r="M997">
        <v>0</v>
      </c>
    </row>
    <row r="998" spans="1:13" x14ac:dyDescent="0.25">
      <c r="A998">
        <v>14</v>
      </c>
      <c r="B998" t="s">
        <v>34</v>
      </c>
      <c r="C998">
        <v>4.4000000000000004</v>
      </c>
      <c r="D998" t="s">
        <v>35</v>
      </c>
      <c r="E998">
        <v>8.8000000000000007</v>
      </c>
      <c r="F998">
        <v>2.2999999999999998</v>
      </c>
      <c r="G998">
        <v>2.73</v>
      </c>
      <c r="H998">
        <v>0.3</v>
      </c>
      <c r="I998" t="s">
        <v>40</v>
      </c>
      <c r="J998">
        <v>9</v>
      </c>
      <c r="K998">
        <v>2</v>
      </c>
      <c r="L998">
        <v>2</v>
      </c>
      <c r="M998">
        <v>0</v>
      </c>
    </row>
    <row r="999" spans="1:13" x14ac:dyDescent="0.25">
      <c r="A999">
        <v>17</v>
      </c>
      <c r="B999" t="s">
        <v>37</v>
      </c>
      <c r="C999">
        <v>3.1</v>
      </c>
      <c r="D999" t="s">
        <v>38</v>
      </c>
      <c r="E999">
        <v>4.2</v>
      </c>
      <c r="F999">
        <v>0.8</v>
      </c>
      <c r="G999">
        <v>2.2799999999999998</v>
      </c>
      <c r="H999">
        <v>1.6</v>
      </c>
      <c r="I999" t="s">
        <v>40</v>
      </c>
      <c r="J999">
        <v>4</v>
      </c>
      <c r="K999">
        <v>9</v>
      </c>
      <c r="L999">
        <v>6</v>
      </c>
      <c r="M999">
        <v>0</v>
      </c>
    </row>
    <row r="1000" spans="1:13" x14ac:dyDescent="0.25">
      <c r="A1000">
        <v>15</v>
      </c>
      <c r="B1000" t="s">
        <v>34</v>
      </c>
      <c r="C1000">
        <v>7.8</v>
      </c>
      <c r="D1000" t="s">
        <v>41</v>
      </c>
      <c r="E1000">
        <v>4.2</v>
      </c>
      <c r="F1000">
        <v>2.1</v>
      </c>
      <c r="G1000">
        <v>3.42</v>
      </c>
      <c r="H1000">
        <v>0</v>
      </c>
      <c r="I1000" t="s">
        <v>36</v>
      </c>
      <c r="J1000">
        <v>10</v>
      </c>
      <c r="K1000">
        <v>7</v>
      </c>
      <c r="L1000">
        <v>9</v>
      </c>
      <c r="M1000">
        <v>1</v>
      </c>
    </row>
    <row r="1001" spans="1:13" x14ac:dyDescent="0.25">
      <c r="A1001">
        <v>19</v>
      </c>
      <c r="B1001" t="s">
        <v>37</v>
      </c>
      <c r="C1001">
        <v>2.1</v>
      </c>
      <c r="D1001" t="s">
        <v>41</v>
      </c>
      <c r="E1001">
        <v>4.4000000000000004</v>
      </c>
      <c r="F1001">
        <v>2.2000000000000002</v>
      </c>
      <c r="G1001">
        <v>2.4700000000000002</v>
      </c>
      <c r="H1001">
        <v>0.7</v>
      </c>
      <c r="I1001" t="s">
        <v>39</v>
      </c>
      <c r="J1001">
        <v>9</v>
      </c>
      <c r="K1001">
        <v>5</v>
      </c>
      <c r="L1001">
        <v>6</v>
      </c>
      <c r="M1001">
        <v>0</v>
      </c>
    </row>
    <row r="1002" spans="1:13" x14ac:dyDescent="0.25">
      <c r="A1002">
        <v>14</v>
      </c>
      <c r="B1002" t="s">
        <v>37</v>
      </c>
      <c r="C1002">
        <v>5.5</v>
      </c>
      <c r="D1002" t="s">
        <v>41</v>
      </c>
      <c r="E1002">
        <v>5.7</v>
      </c>
      <c r="F1002">
        <v>2.2999999999999998</v>
      </c>
      <c r="G1002">
        <v>3.05</v>
      </c>
      <c r="H1002">
        <v>1.3</v>
      </c>
      <c r="I1002" t="s">
        <v>40</v>
      </c>
      <c r="J1002">
        <v>7</v>
      </c>
      <c r="K1002">
        <v>8</v>
      </c>
      <c r="L1002">
        <v>5</v>
      </c>
      <c r="M1002">
        <v>1</v>
      </c>
    </row>
    <row r="1003" spans="1:13" x14ac:dyDescent="0.25">
      <c r="A1003">
        <v>15</v>
      </c>
      <c r="B1003" t="s">
        <v>37</v>
      </c>
      <c r="C1003">
        <v>5.7</v>
      </c>
      <c r="D1003" t="s">
        <v>35</v>
      </c>
      <c r="E1003">
        <v>7.2</v>
      </c>
      <c r="F1003">
        <v>2.4</v>
      </c>
      <c r="G1003">
        <v>2.1800000000000002</v>
      </c>
      <c r="H1003">
        <v>1.6</v>
      </c>
      <c r="I1003" t="s">
        <v>40</v>
      </c>
      <c r="J1003">
        <v>5</v>
      </c>
      <c r="K1003">
        <v>1</v>
      </c>
      <c r="L1003">
        <v>7</v>
      </c>
      <c r="M1003">
        <v>0</v>
      </c>
    </row>
    <row r="1004" spans="1:13" x14ac:dyDescent="0.25">
      <c r="A1004">
        <v>15</v>
      </c>
      <c r="B1004" t="s">
        <v>37</v>
      </c>
      <c r="C1004">
        <v>5</v>
      </c>
      <c r="D1004" t="s">
        <v>38</v>
      </c>
      <c r="E1004">
        <v>6.3</v>
      </c>
      <c r="F1004">
        <v>1.5</v>
      </c>
      <c r="G1004">
        <v>2.67</v>
      </c>
      <c r="H1004">
        <v>1.1000000000000001</v>
      </c>
      <c r="I1004" t="s">
        <v>39</v>
      </c>
      <c r="J1004">
        <v>6</v>
      </c>
      <c r="K1004">
        <v>2</v>
      </c>
      <c r="L1004">
        <v>5</v>
      </c>
      <c r="M1004">
        <v>0</v>
      </c>
    </row>
    <row r="1005" spans="1:13" x14ac:dyDescent="0.25">
      <c r="A1005">
        <v>16</v>
      </c>
      <c r="B1005" t="s">
        <v>37</v>
      </c>
      <c r="C1005">
        <v>7.5</v>
      </c>
      <c r="D1005" t="s">
        <v>41</v>
      </c>
      <c r="E1005">
        <v>4</v>
      </c>
      <c r="F1005">
        <v>0.5</v>
      </c>
      <c r="G1005">
        <v>3.72</v>
      </c>
      <c r="H1005">
        <v>1.1000000000000001</v>
      </c>
      <c r="I1005" t="s">
        <v>40</v>
      </c>
      <c r="J1005">
        <v>4</v>
      </c>
      <c r="K1005">
        <v>5</v>
      </c>
      <c r="L1005">
        <v>7</v>
      </c>
      <c r="M1005">
        <v>0</v>
      </c>
    </row>
    <row r="1006" spans="1:13" x14ac:dyDescent="0.25">
      <c r="A1006">
        <v>17</v>
      </c>
      <c r="B1006" t="s">
        <v>34</v>
      </c>
      <c r="C1006">
        <v>2.2000000000000002</v>
      </c>
      <c r="D1006" t="s">
        <v>38</v>
      </c>
      <c r="E1006">
        <v>7.1</v>
      </c>
      <c r="F1006">
        <v>1.1000000000000001</v>
      </c>
      <c r="G1006">
        <v>2.5</v>
      </c>
      <c r="H1006">
        <v>1.5</v>
      </c>
      <c r="I1006" t="s">
        <v>36</v>
      </c>
      <c r="J1006">
        <v>2</v>
      </c>
      <c r="K1006">
        <v>1</v>
      </c>
      <c r="L1006">
        <v>2</v>
      </c>
      <c r="M1006">
        <v>0</v>
      </c>
    </row>
    <row r="1007" spans="1:13" x14ac:dyDescent="0.25">
      <c r="A1007">
        <v>15</v>
      </c>
      <c r="B1007" t="s">
        <v>37</v>
      </c>
      <c r="C1007">
        <v>7.3</v>
      </c>
      <c r="D1007" t="s">
        <v>35</v>
      </c>
      <c r="E1007">
        <v>4.0999999999999996</v>
      </c>
      <c r="F1007">
        <v>2.1</v>
      </c>
      <c r="G1007">
        <v>2.87</v>
      </c>
      <c r="H1007">
        <v>0.4</v>
      </c>
      <c r="I1007" t="s">
        <v>36</v>
      </c>
      <c r="J1007">
        <v>10</v>
      </c>
      <c r="K1007">
        <v>10</v>
      </c>
      <c r="L1007">
        <v>1</v>
      </c>
      <c r="M1007">
        <v>1</v>
      </c>
    </row>
    <row r="1008" spans="1:13" x14ac:dyDescent="0.25">
      <c r="A1008">
        <v>17</v>
      </c>
      <c r="B1008" t="s">
        <v>34</v>
      </c>
      <c r="C1008">
        <v>2.7</v>
      </c>
      <c r="D1008" t="s">
        <v>35</v>
      </c>
      <c r="E1008">
        <v>7.5</v>
      </c>
      <c r="F1008">
        <v>1.5</v>
      </c>
      <c r="G1008">
        <v>3.23</v>
      </c>
      <c r="H1008">
        <v>1.4</v>
      </c>
      <c r="I1008" t="s">
        <v>36</v>
      </c>
      <c r="J1008">
        <v>5</v>
      </c>
      <c r="K1008">
        <v>7</v>
      </c>
      <c r="L1008">
        <v>3</v>
      </c>
      <c r="M1008">
        <v>0</v>
      </c>
    </row>
    <row r="1009" spans="1:13" x14ac:dyDescent="0.25">
      <c r="A1009">
        <v>18</v>
      </c>
      <c r="B1009" t="s">
        <v>34</v>
      </c>
      <c r="C1009">
        <v>1.6</v>
      </c>
      <c r="D1009" t="s">
        <v>35</v>
      </c>
      <c r="E1009">
        <v>8.6</v>
      </c>
      <c r="F1009">
        <v>2.6</v>
      </c>
      <c r="G1009">
        <v>3.53</v>
      </c>
      <c r="H1009">
        <v>0.1</v>
      </c>
      <c r="I1009" t="s">
        <v>40</v>
      </c>
      <c r="J1009">
        <v>8</v>
      </c>
      <c r="K1009">
        <v>8</v>
      </c>
      <c r="L1009">
        <v>10</v>
      </c>
      <c r="M1009">
        <v>0</v>
      </c>
    </row>
    <row r="1010" spans="1:13" x14ac:dyDescent="0.25">
      <c r="A1010">
        <v>14</v>
      </c>
      <c r="B1010" t="s">
        <v>34</v>
      </c>
      <c r="C1010">
        <v>4</v>
      </c>
      <c r="D1010" t="s">
        <v>38</v>
      </c>
      <c r="E1010">
        <v>4.9000000000000004</v>
      </c>
      <c r="F1010">
        <v>2.7</v>
      </c>
      <c r="G1010">
        <v>2.2999999999999998</v>
      </c>
      <c r="H1010">
        <v>0.5</v>
      </c>
      <c r="I1010" t="s">
        <v>39</v>
      </c>
      <c r="J1010">
        <v>7</v>
      </c>
      <c r="K1010">
        <v>8</v>
      </c>
      <c r="L1010">
        <v>6</v>
      </c>
      <c r="M1010">
        <v>0</v>
      </c>
    </row>
    <row r="1011" spans="1:13" x14ac:dyDescent="0.25">
      <c r="A1011">
        <v>18</v>
      </c>
      <c r="B1011" t="s">
        <v>37</v>
      </c>
      <c r="C1011">
        <v>6.3</v>
      </c>
      <c r="D1011" t="s">
        <v>41</v>
      </c>
      <c r="E1011">
        <v>4.7</v>
      </c>
      <c r="F1011">
        <v>2.4</v>
      </c>
      <c r="G1011">
        <v>2.2999999999999998</v>
      </c>
      <c r="H1011">
        <v>0.9</v>
      </c>
      <c r="I1011" t="s">
        <v>40</v>
      </c>
      <c r="J1011">
        <v>6</v>
      </c>
      <c r="K1011">
        <v>1</v>
      </c>
      <c r="L1011">
        <v>6</v>
      </c>
      <c r="M1011">
        <v>0</v>
      </c>
    </row>
    <row r="1012" spans="1:13" x14ac:dyDescent="0.25">
      <c r="A1012">
        <v>16</v>
      </c>
      <c r="B1012" t="s">
        <v>37</v>
      </c>
      <c r="C1012">
        <v>6.8</v>
      </c>
      <c r="D1012" t="s">
        <v>38</v>
      </c>
      <c r="E1012">
        <v>7.1</v>
      </c>
      <c r="F1012">
        <v>2.9</v>
      </c>
      <c r="G1012">
        <v>3.26</v>
      </c>
      <c r="H1012">
        <v>0.6</v>
      </c>
      <c r="I1012" t="s">
        <v>36</v>
      </c>
      <c r="J1012">
        <v>6</v>
      </c>
      <c r="K1012">
        <v>10</v>
      </c>
      <c r="L1012">
        <v>4</v>
      </c>
      <c r="M1012">
        <v>0</v>
      </c>
    </row>
    <row r="1013" spans="1:13" x14ac:dyDescent="0.25">
      <c r="A1013">
        <v>18</v>
      </c>
      <c r="B1013" t="s">
        <v>37</v>
      </c>
      <c r="C1013">
        <v>6.6</v>
      </c>
      <c r="D1013" t="s">
        <v>41</v>
      </c>
      <c r="E1013">
        <v>8.1</v>
      </c>
      <c r="F1013">
        <v>2</v>
      </c>
      <c r="G1013">
        <v>3.59</v>
      </c>
      <c r="H1013">
        <v>1.6</v>
      </c>
      <c r="I1013" t="s">
        <v>36</v>
      </c>
      <c r="J1013">
        <v>9</v>
      </c>
      <c r="K1013">
        <v>4</v>
      </c>
      <c r="L1013">
        <v>3</v>
      </c>
      <c r="M1013">
        <v>0</v>
      </c>
    </row>
    <row r="1014" spans="1:13" x14ac:dyDescent="0.25">
      <c r="A1014">
        <v>13</v>
      </c>
      <c r="B1014" t="s">
        <v>34</v>
      </c>
      <c r="C1014">
        <v>4</v>
      </c>
      <c r="D1014" t="s">
        <v>35</v>
      </c>
      <c r="E1014">
        <v>4.2</v>
      </c>
      <c r="F1014">
        <v>0.9</v>
      </c>
      <c r="G1014">
        <v>2.75</v>
      </c>
      <c r="H1014">
        <v>1</v>
      </c>
      <c r="I1014" t="s">
        <v>39</v>
      </c>
      <c r="J1014">
        <v>5</v>
      </c>
      <c r="K1014">
        <v>4</v>
      </c>
      <c r="L1014">
        <v>8</v>
      </c>
      <c r="M1014">
        <v>0</v>
      </c>
    </row>
    <row r="1015" spans="1:13" x14ac:dyDescent="0.25">
      <c r="A1015">
        <v>13</v>
      </c>
      <c r="B1015" t="s">
        <v>34</v>
      </c>
      <c r="C1015">
        <v>1.6</v>
      </c>
      <c r="D1015" t="s">
        <v>38</v>
      </c>
      <c r="E1015">
        <v>5</v>
      </c>
      <c r="F1015">
        <v>2.7</v>
      </c>
      <c r="G1015">
        <v>2.31</v>
      </c>
      <c r="H1015">
        <v>1.9</v>
      </c>
      <c r="I1015" t="s">
        <v>36</v>
      </c>
      <c r="J1015">
        <v>8</v>
      </c>
      <c r="K1015">
        <v>9</v>
      </c>
      <c r="L1015">
        <v>5</v>
      </c>
      <c r="M1015">
        <v>0</v>
      </c>
    </row>
    <row r="1016" spans="1:13" x14ac:dyDescent="0.25">
      <c r="A1016">
        <v>18</v>
      </c>
      <c r="B1016" t="s">
        <v>34</v>
      </c>
      <c r="C1016">
        <v>5.3</v>
      </c>
      <c r="D1016" t="s">
        <v>41</v>
      </c>
      <c r="E1016">
        <v>8.1999999999999993</v>
      </c>
      <c r="F1016">
        <v>1.9</v>
      </c>
      <c r="G1016">
        <v>3.87</v>
      </c>
      <c r="H1016">
        <v>1.9</v>
      </c>
      <c r="I1016" t="s">
        <v>36</v>
      </c>
      <c r="J1016">
        <v>2</v>
      </c>
      <c r="K1016">
        <v>9</v>
      </c>
      <c r="L1016">
        <v>8</v>
      </c>
      <c r="M1016">
        <v>0</v>
      </c>
    </row>
    <row r="1017" spans="1:13" x14ac:dyDescent="0.25">
      <c r="A1017">
        <v>19</v>
      </c>
      <c r="B1017" t="s">
        <v>37</v>
      </c>
      <c r="C1017">
        <v>7.4</v>
      </c>
      <c r="D1017" t="s">
        <v>41</v>
      </c>
      <c r="E1017">
        <v>4.4000000000000004</v>
      </c>
      <c r="F1017">
        <v>1.4</v>
      </c>
      <c r="G1017">
        <v>3.78</v>
      </c>
      <c r="H1017">
        <v>1.1000000000000001</v>
      </c>
      <c r="I1017" t="s">
        <v>36</v>
      </c>
      <c r="J1017">
        <v>9</v>
      </c>
      <c r="K1017">
        <v>7</v>
      </c>
      <c r="L1017">
        <v>5</v>
      </c>
      <c r="M1017">
        <v>1</v>
      </c>
    </row>
    <row r="1018" spans="1:13" x14ac:dyDescent="0.25">
      <c r="A1018">
        <v>18</v>
      </c>
      <c r="B1018" t="s">
        <v>37</v>
      </c>
      <c r="C1018">
        <v>2.2999999999999998</v>
      </c>
      <c r="D1018" t="s">
        <v>35</v>
      </c>
      <c r="E1018">
        <v>8.6999999999999993</v>
      </c>
      <c r="F1018">
        <v>0.6</v>
      </c>
      <c r="G1018">
        <v>2.76</v>
      </c>
      <c r="H1018">
        <v>1.9</v>
      </c>
      <c r="I1018" t="s">
        <v>39</v>
      </c>
      <c r="J1018">
        <v>4</v>
      </c>
      <c r="K1018">
        <v>8</v>
      </c>
      <c r="L1018">
        <v>7</v>
      </c>
      <c r="M1018">
        <v>0</v>
      </c>
    </row>
    <row r="1019" spans="1:13" x14ac:dyDescent="0.25">
      <c r="A1019">
        <v>16</v>
      </c>
      <c r="B1019" t="s">
        <v>34</v>
      </c>
      <c r="C1019">
        <v>7.6</v>
      </c>
      <c r="D1019" t="s">
        <v>41</v>
      </c>
      <c r="E1019">
        <v>6.1</v>
      </c>
      <c r="F1019">
        <v>0.8</v>
      </c>
      <c r="G1019">
        <v>3.09</v>
      </c>
      <c r="H1019">
        <v>1.3</v>
      </c>
      <c r="I1019" t="s">
        <v>36</v>
      </c>
      <c r="J1019">
        <v>8</v>
      </c>
      <c r="K1019">
        <v>4</v>
      </c>
      <c r="L1019">
        <v>4</v>
      </c>
      <c r="M1019">
        <v>0</v>
      </c>
    </row>
    <row r="1020" spans="1:13" x14ac:dyDescent="0.25">
      <c r="A1020">
        <v>16</v>
      </c>
      <c r="B1020" t="s">
        <v>37</v>
      </c>
      <c r="C1020">
        <v>7.6</v>
      </c>
      <c r="D1020" t="s">
        <v>38</v>
      </c>
      <c r="E1020">
        <v>7.6</v>
      </c>
      <c r="F1020">
        <v>2.4</v>
      </c>
      <c r="G1020">
        <v>2.2400000000000002</v>
      </c>
      <c r="H1020">
        <v>1.1000000000000001</v>
      </c>
      <c r="I1020" t="s">
        <v>40</v>
      </c>
      <c r="J1020">
        <v>1</v>
      </c>
      <c r="K1020">
        <v>5</v>
      </c>
      <c r="L1020">
        <v>5</v>
      </c>
      <c r="M1020">
        <v>0</v>
      </c>
    </row>
    <row r="1021" spans="1:13" x14ac:dyDescent="0.25">
      <c r="A1021">
        <v>17</v>
      </c>
      <c r="B1021" t="s">
        <v>37</v>
      </c>
      <c r="C1021">
        <v>3.4</v>
      </c>
      <c r="D1021" t="s">
        <v>41</v>
      </c>
      <c r="E1021">
        <v>4.7</v>
      </c>
      <c r="F1021">
        <v>0.5</v>
      </c>
      <c r="G1021">
        <v>2.91</v>
      </c>
      <c r="H1021">
        <v>2</v>
      </c>
      <c r="I1021" t="s">
        <v>39</v>
      </c>
      <c r="J1021">
        <v>2</v>
      </c>
      <c r="K1021">
        <v>8</v>
      </c>
      <c r="L1021">
        <v>1</v>
      </c>
      <c r="M1021">
        <v>0</v>
      </c>
    </row>
    <row r="1022" spans="1:13" x14ac:dyDescent="0.25">
      <c r="A1022">
        <v>18</v>
      </c>
      <c r="B1022" t="s">
        <v>37</v>
      </c>
      <c r="C1022">
        <v>2.2999999999999998</v>
      </c>
      <c r="D1022" t="s">
        <v>35</v>
      </c>
      <c r="E1022">
        <v>4.2</v>
      </c>
      <c r="F1022">
        <v>0.9</v>
      </c>
      <c r="G1022">
        <v>3.84</v>
      </c>
      <c r="H1022">
        <v>1.3</v>
      </c>
      <c r="I1022" t="s">
        <v>39</v>
      </c>
      <c r="J1022">
        <v>6</v>
      </c>
      <c r="K1022">
        <v>6</v>
      </c>
      <c r="L1022">
        <v>10</v>
      </c>
      <c r="M1022">
        <v>0</v>
      </c>
    </row>
    <row r="1023" spans="1:13" x14ac:dyDescent="0.25">
      <c r="A1023">
        <v>18</v>
      </c>
      <c r="B1023" t="s">
        <v>34</v>
      </c>
      <c r="C1023">
        <v>5</v>
      </c>
      <c r="D1023" t="s">
        <v>35</v>
      </c>
      <c r="E1023">
        <v>4.3</v>
      </c>
      <c r="F1023">
        <v>1.1000000000000001</v>
      </c>
      <c r="G1023">
        <v>2.2200000000000002</v>
      </c>
      <c r="H1023">
        <v>0.1</v>
      </c>
      <c r="I1023" t="s">
        <v>39</v>
      </c>
      <c r="J1023">
        <v>7</v>
      </c>
      <c r="K1023">
        <v>2</v>
      </c>
      <c r="L1023">
        <v>2</v>
      </c>
      <c r="M1023">
        <v>0</v>
      </c>
    </row>
    <row r="1024" spans="1:13" x14ac:dyDescent="0.25">
      <c r="A1024">
        <v>15</v>
      </c>
      <c r="B1024" t="s">
        <v>34</v>
      </c>
      <c r="C1024">
        <v>3.8</v>
      </c>
      <c r="D1024" t="s">
        <v>38</v>
      </c>
      <c r="E1024">
        <v>7.1</v>
      </c>
      <c r="F1024">
        <v>0.5</v>
      </c>
      <c r="G1024">
        <v>3.08</v>
      </c>
      <c r="H1024">
        <v>0.2</v>
      </c>
      <c r="I1024" t="s">
        <v>40</v>
      </c>
      <c r="J1024">
        <v>2</v>
      </c>
      <c r="K1024">
        <v>9</v>
      </c>
      <c r="L1024">
        <v>7</v>
      </c>
      <c r="M1024">
        <v>0</v>
      </c>
    </row>
    <row r="1025" spans="1:13" x14ac:dyDescent="0.25">
      <c r="A1025">
        <v>16</v>
      </c>
      <c r="B1025" t="s">
        <v>34</v>
      </c>
      <c r="C1025">
        <v>3.7</v>
      </c>
      <c r="D1025" t="s">
        <v>35</v>
      </c>
      <c r="E1025">
        <v>7.6</v>
      </c>
      <c r="F1025">
        <v>1.2</v>
      </c>
      <c r="G1025">
        <v>3.2</v>
      </c>
      <c r="H1025">
        <v>1</v>
      </c>
      <c r="I1025" t="s">
        <v>40</v>
      </c>
      <c r="J1025">
        <v>4</v>
      </c>
      <c r="K1025">
        <v>8</v>
      </c>
      <c r="L1025">
        <v>6</v>
      </c>
      <c r="M1025">
        <v>0</v>
      </c>
    </row>
    <row r="1026" spans="1:13" x14ac:dyDescent="0.25">
      <c r="A1026">
        <v>13</v>
      </c>
      <c r="B1026" t="s">
        <v>34</v>
      </c>
      <c r="C1026">
        <v>1.4</v>
      </c>
      <c r="D1026" t="s">
        <v>41</v>
      </c>
      <c r="E1026">
        <v>8.6</v>
      </c>
      <c r="F1026">
        <v>2.4</v>
      </c>
      <c r="G1026">
        <v>3.31</v>
      </c>
      <c r="H1026">
        <v>0.7</v>
      </c>
      <c r="I1026" t="s">
        <v>36</v>
      </c>
      <c r="J1026">
        <v>2</v>
      </c>
      <c r="K1026">
        <v>6</v>
      </c>
      <c r="L1026">
        <v>2</v>
      </c>
      <c r="M1026">
        <v>0</v>
      </c>
    </row>
    <row r="1027" spans="1:13" x14ac:dyDescent="0.25">
      <c r="A1027">
        <v>18</v>
      </c>
      <c r="B1027" t="s">
        <v>34</v>
      </c>
      <c r="C1027">
        <v>1.8</v>
      </c>
      <c r="D1027" t="s">
        <v>41</v>
      </c>
      <c r="E1027">
        <v>4.9000000000000004</v>
      </c>
      <c r="F1027">
        <v>2.7</v>
      </c>
      <c r="G1027">
        <v>2.12</v>
      </c>
      <c r="H1027">
        <v>0.2</v>
      </c>
      <c r="I1027" t="s">
        <v>36</v>
      </c>
      <c r="J1027">
        <v>1</v>
      </c>
      <c r="K1027">
        <v>3</v>
      </c>
      <c r="L1027">
        <v>8</v>
      </c>
      <c r="M1027">
        <v>0</v>
      </c>
    </row>
    <row r="1028" spans="1:13" x14ac:dyDescent="0.25">
      <c r="A1028">
        <v>19</v>
      </c>
      <c r="B1028" t="s">
        <v>34</v>
      </c>
      <c r="C1028">
        <v>1.5</v>
      </c>
      <c r="D1028" t="s">
        <v>38</v>
      </c>
      <c r="E1028">
        <v>5.8</v>
      </c>
      <c r="F1028">
        <v>1.1000000000000001</v>
      </c>
      <c r="G1028">
        <v>3.29</v>
      </c>
      <c r="H1028">
        <v>1.7</v>
      </c>
      <c r="I1028" t="s">
        <v>39</v>
      </c>
      <c r="J1028">
        <v>6</v>
      </c>
      <c r="K1028">
        <v>4</v>
      </c>
      <c r="L1028">
        <v>2</v>
      </c>
      <c r="M1028">
        <v>0</v>
      </c>
    </row>
    <row r="1029" spans="1:13" x14ac:dyDescent="0.25">
      <c r="A1029">
        <v>18</v>
      </c>
      <c r="B1029" t="s">
        <v>37</v>
      </c>
      <c r="C1029">
        <v>5.5</v>
      </c>
      <c r="D1029" t="s">
        <v>41</v>
      </c>
      <c r="E1029">
        <v>5.5</v>
      </c>
      <c r="F1029">
        <v>1.8</v>
      </c>
      <c r="G1029">
        <v>2.2400000000000002</v>
      </c>
      <c r="H1029">
        <v>0</v>
      </c>
      <c r="I1029" t="s">
        <v>39</v>
      </c>
      <c r="J1029">
        <v>3</v>
      </c>
      <c r="K1029">
        <v>4</v>
      </c>
      <c r="L1029">
        <v>10</v>
      </c>
      <c r="M1029">
        <v>0</v>
      </c>
    </row>
    <row r="1030" spans="1:13" x14ac:dyDescent="0.25">
      <c r="A1030">
        <v>15</v>
      </c>
      <c r="B1030" t="s">
        <v>34</v>
      </c>
      <c r="C1030">
        <v>4.9000000000000004</v>
      </c>
      <c r="D1030" t="s">
        <v>41</v>
      </c>
      <c r="E1030">
        <v>5.2</v>
      </c>
      <c r="F1030">
        <v>0.7</v>
      </c>
      <c r="G1030">
        <v>2.5499999999999998</v>
      </c>
      <c r="H1030">
        <v>0.1</v>
      </c>
      <c r="I1030" t="s">
        <v>36</v>
      </c>
      <c r="J1030">
        <v>10</v>
      </c>
      <c r="K1030">
        <v>6</v>
      </c>
      <c r="L1030">
        <v>4</v>
      </c>
      <c r="M1030">
        <v>0</v>
      </c>
    </row>
    <row r="1031" spans="1:13" x14ac:dyDescent="0.25">
      <c r="A1031">
        <v>14</v>
      </c>
      <c r="B1031" t="s">
        <v>37</v>
      </c>
      <c r="C1031">
        <v>7.2</v>
      </c>
      <c r="D1031" t="s">
        <v>41</v>
      </c>
      <c r="E1031">
        <v>7</v>
      </c>
      <c r="F1031">
        <v>2.2999999999999998</v>
      </c>
      <c r="G1031">
        <v>3.74</v>
      </c>
      <c r="H1031">
        <v>0.7</v>
      </c>
      <c r="I1031" t="s">
        <v>36</v>
      </c>
      <c r="J1031">
        <v>8</v>
      </c>
      <c r="K1031">
        <v>4</v>
      </c>
      <c r="L1031">
        <v>7</v>
      </c>
      <c r="M1031">
        <v>0</v>
      </c>
    </row>
    <row r="1032" spans="1:13" x14ac:dyDescent="0.25">
      <c r="A1032">
        <v>16</v>
      </c>
      <c r="B1032" t="s">
        <v>37</v>
      </c>
      <c r="C1032">
        <v>6.8</v>
      </c>
      <c r="D1032" t="s">
        <v>35</v>
      </c>
      <c r="E1032">
        <v>7.2</v>
      </c>
      <c r="F1032">
        <v>1.1000000000000001</v>
      </c>
      <c r="G1032">
        <v>2.29</v>
      </c>
      <c r="H1032">
        <v>1.9</v>
      </c>
      <c r="I1032" t="s">
        <v>36</v>
      </c>
      <c r="J1032">
        <v>8</v>
      </c>
      <c r="K1032">
        <v>5</v>
      </c>
      <c r="L1032">
        <v>9</v>
      </c>
      <c r="M1032">
        <v>0</v>
      </c>
    </row>
    <row r="1033" spans="1:13" x14ac:dyDescent="0.25">
      <c r="A1033">
        <v>13</v>
      </c>
      <c r="B1033" t="s">
        <v>37</v>
      </c>
      <c r="C1033">
        <v>2.2000000000000002</v>
      </c>
      <c r="D1033" t="s">
        <v>41</v>
      </c>
      <c r="E1033">
        <v>7.7</v>
      </c>
      <c r="F1033">
        <v>2.1</v>
      </c>
      <c r="G1033">
        <v>2.33</v>
      </c>
      <c r="H1033">
        <v>1.7</v>
      </c>
      <c r="I1033" t="s">
        <v>36</v>
      </c>
      <c r="J1033">
        <v>2</v>
      </c>
      <c r="K1033">
        <v>8</v>
      </c>
      <c r="L1033">
        <v>7</v>
      </c>
      <c r="M1033">
        <v>0</v>
      </c>
    </row>
    <row r="1034" spans="1:13" x14ac:dyDescent="0.25">
      <c r="A1034">
        <v>16</v>
      </c>
      <c r="B1034" t="s">
        <v>37</v>
      </c>
      <c r="C1034">
        <v>5.9</v>
      </c>
      <c r="D1034" t="s">
        <v>38</v>
      </c>
      <c r="E1034">
        <v>7</v>
      </c>
      <c r="F1034">
        <v>0.8</v>
      </c>
      <c r="G1034">
        <v>2.29</v>
      </c>
      <c r="H1034">
        <v>1.6</v>
      </c>
      <c r="I1034" t="s">
        <v>36</v>
      </c>
      <c r="J1034">
        <v>6</v>
      </c>
      <c r="K1034">
        <v>8</v>
      </c>
      <c r="L1034">
        <v>1</v>
      </c>
      <c r="M1034">
        <v>0</v>
      </c>
    </row>
    <row r="1035" spans="1:13" x14ac:dyDescent="0.25">
      <c r="A1035">
        <v>15</v>
      </c>
      <c r="B1035" t="s">
        <v>37</v>
      </c>
      <c r="C1035">
        <v>2.2000000000000002</v>
      </c>
      <c r="D1035" t="s">
        <v>35</v>
      </c>
      <c r="E1035">
        <v>7.5</v>
      </c>
      <c r="F1035">
        <v>1.4</v>
      </c>
      <c r="G1035">
        <v>3.19</v>
      </c>
      <c r="H1035">
        <v>1.8</v>
      </c>
      <c r="I1035" t="s">
        <v>36</v>
      </c>
      <c r="J1035">
        <v>6</v>
      </c>
      <c r="K1035">
        <v>1</v>
      </c>
      <c r="L1035">
        <v>7</v>
      </c>
      <c r="M1035">
        <v>0</v>
      </c>
    </row>
    <row r="1036" spans="1:13" x14ac:dyDescent="0.25">
      <c r="A1036">
        <v>19</v>
      </c>
      <c r="B1036" t="s">
        <v>37</v>
      </c>
      <c r="C1036">
        <v>2.4</v>
      </c>
      <c r="D1036" t="s">
        <v>35</v>
      </c>
      <c r="E1036">
        <v>4.2</v>
      </c>
      <c r="F1036">
        <v>1.2</v>
      </c>
      <c r="G1036">
        <v>3.87</v>
      </c>
      <c r="H1036">
        <v>1.3</v>
      </c>
      <c r="I1036" t="s">
        <v>36</v>
      </c>
      <c r="J1036">
        <v>1</v>
      </c>
      <c r="K1036">
        <v>9</v>
      </c>
      <c r="L1036">
        <v>5</v>
      </c>
      <c r="M1036">
        <v>0</v>
      </c>
    </row>
    <row r="1037" spans="1:13" x14ac:dyDescent="0.25">
      <c r="A1037">
        <v>15</v>
      </c>
      <c r="B1037" t="s">
        <v>34</v>
      </c>
      <c r="C1037">
        <v>4.0999999999999996</v>
      </c>
      <c r="D1037" t="s">
        <v>35</v>
      </c>
      <c r="E1037">
        <v>7.6</v>
      </c>
      <c r="F1037">
        <v>1</v>
      </c>
      <c r="G1037">
        <v>2.17</v>
      </c>
      <c r="H1037">
        <v>1.1000000000000001</v>
      </c>
      <c r="I1037" t="s">
        <v>36</v>
      </c>
      <c r="J1037">
        <v>4</v>
      </c>
      <c r="K1037">
        <v>5</v>
      </c>
      <c r="L1037">
        <v>1</v>
      </c>
      <c r="M1037">
        <v>0</v>
      </c>
    </row>
    <row r="1038" spans="1:13" x14ac:dyDescent="0.25">
      <c r="A1038">
        <v>18</v>
      </c>
      <c r="B1038" t="s">
        <v>37</v>
      </c>
      <c r="C1038">
        <v>4.5</v>
      </c>
      <c r="D1038" t="s">
        <v>35</v>
      </c>
      <c r="E1038">
        <v>7</v>
      </c>
      <c r="F1038">
        <v>2.7</v>
      </c>
      <c r="G1038">
        <v>2.89</v>
      </c>
      <c r="H1038">
        <v>1.8</v>
      </c>
      <c r="I1038" t="s">
        <v>39</v>
      </c>
      <c r="J1038">
        <v>1</v>
      </c>
      <c r="K1038">
        <v>1</v>
      </c>
      <c r="L1038">
        <v>2</v>
      </c>
      <c r="M1038">
        <v>0</v>
      </c>
    </row>
    <row r="1039" spans="1:13" x14ac:dyDescent="0.25">
      <c r="A1039">
        <v>14</v>
      </c>
      <c r="B1039" t="s">
        <v>37</v>
      </c>
      <c r="C1039">
        <v>4.5999999999999996</v>
      </c>
      <c r="D1039" t="s">
        <v>35</v>
      </c>
      <c r="E1039">
        <v>5.9</v>
      </c>
      <c r="F1039">
        <v>1.4</v>
      </c>
      <c r="G1039">
        <v>2.15</v>
      </c>
      <c r="H1039">
        <v>0.3</v>
      </c>
      <c r="I1039" t="s">
        <v>39</v>
      </c>
      <c r="J1039">
        <v>3</v>
      </c>
      <c r="K1039">
        <v>10</v>
      </c>
      <c r="L1039">
        <v>2</v>
      </c>
      <c r="M1039">
        <v>0</v>
      </c>
    </row>
    <row r="1040" spans="1:13" x14ac:dyDescent="0.25">
      <c r="A1040">
        <v>17</v>
      </c>
      <c r="B1040" t="s">
        <v>37</v>
      </c>
      <c r="C1040">
        <v>4.5</v>
      </c>
      <c r="D1040" t="s">
        <v>41</v>
      </c>
      <c r="E1040">
        <v>6.1</v>
      </c>
      <c r="F1040">
        <v>2.8</v>
      </c>
      <c r="G1040">
        <v>3.38</v>
      </c>
      <c r="H1040">
        <v>1.2</v>
      </c>
      <c r="I1040" t="s">
        <v>36</v>
      </c>
      <c r="J1040">
        <v>10</v>
      </c>
      <c r="K1040">
        <v>4</v>
      </c>
      <c r="L1040">
        <v>2</v>
      </c>
      <c r="M1040">
        <v>0</v>
      </c>
    </row>
    <row r="1041" spans="1:13" x14ac:dyDescent="0.25">
      <c r="A1041">
        <v>13</v>
      </c>
      <c r="B1041" t="s">
        <v>34</v>
      </c>
      <c r="C1041">
        <v>5</v>
      </c>
      <c r="D1041" t="s">
        <v>35</v>
      </c>
      <c r="E1041">
        <v>5.2</v>
      </c>
      <c r="F1041">
        <v>2.6</v>
      </c>
      <c r="G1041">
        <v>2.04</v>
      </c>
      <c r="H1041">
        <v>1.7</v>
      </c>
      <c r="I1041" t="s">
        <v>40</v>
      </c>
      <c r="J1041">
        <v>4</v>
      </c>
      <c r="K1041">
        <v>4</v>
      </c>
      <c r="L1041">
        <v>5</v>
      </c>
      <c r="M1041">
        <v>0</v>
      </c>
    </row>
    <row r="1042" spans="1:13" x14ac:dyDescent="0.25">
      <c r="A1042">
        <v>19</v>
      </c>
      <c r="B1042" t="s">
        <v>37</v>
      </c>
      <c r="C1042">
        <v>4.0999999999999996</v>
      </c>
      <c r="D1042" t="s">
        <v>41</v>
      </c>
      <c r="E1042">
        <v>6.4</v>
      </c>
      <c r="F1042">
        <v>1.4</v>
      </c>
      <c r="G1042">
        <v>2.2599999999999998</v>
      </c>
      <c r="H1042">
        <v>1.6</v>
      </c>
      <c r="I1042" t="s">
        <v>39</v>
      </c>
      <c r="J1042">
        <v>2</v>
      </c>
      <c r="K1042">
        <v>3</v>
      </c>
      <c r="L1042">
        <v>6</v>
      </c>
      <c r="M1042">
        <v>0</v>
      </c>
    </row>
    <row r="1043" spans="1:13" x14ac:dyDescent="0.25">
      <c r="A1043">
        <v>18</v>
      </c>
      <c r="B1043" t="s">
        <v>34</v>
      </c>
      <c r="C1043">
        <v>7.5</v>
      </c>
      <c r="D1043" t="s">
        <v>38</v>
      </c>
      <c r="E1043">
        <v>7.6</v>
      </c>
      <c r="F1043">
        <v>1.8</v>
      </c>
      <c r="G1043">
        <v>3.19</v>
      </c>
      <c r="H1043">
        <v>1.7</v>
      </c>
      <c r="I1043" t="s">
        <v>39</v>
      </c>
      <c r="J1043">
        <v>2</v>
      </c>
      <c r="K1043">
        <v>6</v>
      </c>
      <c r="L1043">
        <v>6</v>
      </c>
      <c r="M1043">
        <v>0</v>
      </c>
    </row>
    <row r="1044" spans="1:13" x14ac:dyDescent="0.25">
      <c r="A1044">
        <v>18</v>
      </c>
      <c r="B1044" t="s">
        <v>34</v>
      </c>
      <c r="C1044">
        <v>4.2</v>
      </c>
      <c r="D1044" t="s">
        <v>35</v>
      </c>
      <c r="E1044">
        <v>5.5</v>
      </c>
      <c r="F1044">
        <v>1.8</v>
      </c>
      <c r="G1044">
        <v>3.83</v>
      </c>
      <c r="H1044">
        <v>1.9</v>
      </c>
      <c r="I1044" t="s">
        <v>36</v>
      </c>
      <c r="J1044">
        <v>3</v>
      </c>
      <c r="K1044">
        <v>8</v>
      </c>
      <c r="L1044">
        <v>8</v>
      </c>
      <c r="M1044">
        <v>0</v>
      </c>
    </row>
    <row r="1045" spans="1:13" x14ac:dyDescent="0.25">
      <c r="A1045">
        <v>14</v>
      </c>
      <c r="B1045" t="s">
        <v>37</v>
      </c>
      <c r="C1045">
        <v>7.2</v>
      </c>
      <c r="D1045" t="s">
        <v>41</v>
      </c>
      <c r="E1045">
        <v>5</v>
      </c>
      <c r="F1045">
        <v>2.9</v>
      </c>
      <c r="G1045">
        <v>3.76</v>
      </c>
      <c r="H1045">
        <v>0.4</v>
      </c>
      <c r="I1045" t="s">
        <v>40</v>
      </c>
      <c r="J1045">
        <v>7</v>
      </c>
      <c r="K1045">
        <v>4</v>
      </c>
      <c r="L1045">
        <v>2</v>
      </c>
      <c r="M1045">
        <v>0</v>
      </c>
    </row>
    <row r="1046" spans="1:13" x14ac:dyDescent="0.25">
      <c r="A1046">
        <v>13</v>
      </c>
      <c r="B1046" t="s">
        <v>34</v>
      </c>
      <c r="C1046">
        <v>4.8</v>
      </c>
      <c r="D1046" t="s">
        <v>35</v>
      </c>
      <c r="E1046">
        <v>6</v>
      </c>
      <c r="F1046">
        <v>0.6</v>
      </c>
      <c r="G1046">
        <v>2.41</v>
      </c>
      <c r="H1046">
        <v>0</v>
      </c>
      <c r="I1046" t="s">
        <v>39</v>
      </c>
      <c r="J1046">
        <v>3</v>
      </c>
      <c r="K1046">
        <v>6</v>
      </c>
      <c r="L1046">
        <v>9</v>
      </c>
      <c r="M1046">
        <v>0</v>
      </c>
    </row>
    <row r="1047" spans="1:13" x14ac:dyDescent="0.25">
      <c r="A1047">
        <v>17</v>
      </c>
      <c r="B1047" t="s">
        <v>37</v>
      </c>
      <c r="C1047">
        <v>7.3</v>
      </c>
      <c r="D1047" t="s">
        <v>35</v>
      </c>
      <c r="E1047">
        <v>6.7</v>
      </c>
      <c r="F1047">
        <v>1</v>
      </c>
      <c r="G1047">
        <v>3.41</v>
      </c>
      <c r="H1047">
        <v>1.7</v>
      </c>
      <c r="I1047" t="s">
        <v>40</v>
      </c>
      <c r="J1047">
        <v>6</v>
      </c>
      <c r="K1047">
        <v>5</v>
      </c>
      <c r="L1047">
        <v>2</v>
      </c>
      <c r="M1047">
        <v>0</v>
      </c>
    </row>
    <row r="1048" spans="1:13" x14ac:dyDescent="0.25">
      <c r="A1048">
        <v>13</v>
      </c>
      <c r="B1048" t="s">
        <v>34</v>
      </c>
      <c r="C1048">
        <v>3.9</v>
      </c>
      <c r="D1048" t="s">
        <v>41</v>
      </c>
      <c r="E1048">
        <v>4.5</v>
      </c>
      <c r="F1048">
        <v>1.6</v>
      </c>
      <c r="G1048">
        <v>2.02</v>
      </c>
      <c r="H1048">
        <v>0.6</v>
      </c>
      <c r="I1048" t="s">
        <v>39</v>
      </c>
      <c r="J1048">
        <v>6</v>
      </c>
      <c r="K1048">
        <v>6</v>
      </c>
      <c r="L1048">
        <v>5</v>
      </c>
      <c r="M1048">
        <v>0</v>
      </c>
    </row>
    <row r="1049" spans="1:13" x14ac:dyDescent="0.25">
      <c r="A1049">
        <v>15</v>
      </c>
      <c r="B1049" t="s">
        <v>37</v>
      </c>
      <c r="C1049">
        <v>5.5</v>
      </c>
      <c r="D1049" t="s">
        <v>41</v>
      </c>
      <c r="E1049">
        <v>4</v>
      </c>
      <c r="F1049">
        <v>2.4</v>
      </c>
      <c r="G1049">
        <v>3.01</v>
      </c>
      <c r="H1049">
        <v>0.9</v>
      </c>
      <c r="I1049" t="s">
        <v>36</v>
      </c>
      <c r="J1049">
        <v>10</v>
      </c>
      <c r="K1049">
        <v>3</v>
      </c>
      <c r="L1049">
        <v>2</v>
      </c>
      <c r="M1049">
        <v>0</v>
      </c>
    </row>
    <row r="1050" spans="1:13" x14ac:dyDescent="0.25">
      <c r="A1050">
        <v>15</v>
      </c>
      <c r="B1050" t="s">
        <v>34</v>
      </c>
      <c r="C1050">
        <v>7.5</v>
      </c>
      <c r="D1050" t="s">
        <v>41</v>
      </c>
      <c r="E1050">
        <v>6.3</v>
      </c>
      <c r="F1050">
        <v>2.8</v>
      </c>
      <c r="G1050">
        <v>3.04</v>
      </c>
      <c r="H1050">
        <v>1.8</v>
      </c>
      <c r="I1050" t="s">
        <v>36</v>
      </c>
      <c r="J1050">
        <v>1</v>
      </c>
      <c r="K1050">
        <v>5</v>
      </c>
      <c r="L1050">
        <v>8</v>
      </c>
      <c r="M1050">
        <v>0</v>
      </c>
    </row>
    <row r="1051" spans="1:13" x14ac:dyDescent="0.25">
      <c r="A1051">
        <v>17</v>
      </c>
      <c r="B1051" t="s">
        <v>34</v>
      </c>
      <c r="C1051">
        <v>1.8</v>
      </c>
      <c r="D1051" t="s">
        <v>35</v>
      </c>
      <c r="E1051">
        <v>6.9</v>
      </c>
      <c r="F1051">
        <v>2.7</v>
      </c>
      <c r="G1051">
        <v>2.5299999999999998</v>
      </c>
      <c r="H1051">
        <v>1.7</v>
      </c>
      <c r="I1051" t="s">
        <v>39</v>
      </c>
      <c r="J1051">
        <v>2</v>
      </c>
      <c r="K1051">
        <v>2</v>
      </c>
      <c r="L1051">
        <v>7</v>
      </c>
      <c r="M1051">
        <v>0</v>
      </c>
    </row>
    <row r="1052" spans="1:13" x14ac:dyDescent="0.25">
      <c r="A1052">
        <v>16</v>
      </c>
      <c r="B1052" t="s">
        <v>34</v>
      </c>
      <c r="C1052">
        <v>2.6</v>
      </c>
      <c r="D1052" t="s">
        <v>35</v>
      </c>
      <c r="E1052">
        <v>5.0999999999999996</v>
      </c>
      <c r="F1052">
        <v>0.9</v>
      </c>
      <c r="G1052">
        <v>2.57</v>
      </c>
      <c r="H1052">
        <v>1.4</v>
      </c>
      <c r="I1052" t="s">
        <v>40</v>
      </c>
      <c r="J1052">
        <v>8</v>
      </c>
      <c r="K1052">
        <v>5</v>
      </c>
      <c r="L1052">
        <v>8</v>
      </c>
      <c r="M1052">
        <v>0</v>
      </c>
    </row>
    <row r="1053" spans="1:13" x14ac:dyDescent="0.25">
      <c r="A1053">
        <v>17</v>
      </c>
      <c r="B1053" t="s">
        <v>37</v>
      </c>
      <c r="C1053">
        <v>5.5</v>
      </c>
      <c r="D1053" t="s">
        <v>41</v>
      </c>
      <c r="E1053">
        <v>6</v>
      </c>
      <c r="F1053">
        <v>2.8</v>
      </c>
      <c r="G1053">
        <v>3.4</v>
      </c>
      <c r="H1053">
        <v>0</v>
      </c>
      <c r="I1053" t="s">
        <v>40</v>
      </c>
      <c r="J1053">
        <v>2</v>
      </c>
      <c r="K1053">
        <v>3</v>
      </c>
      <c r="L1053">
        <v>8</v>
      </c>
      <c r="M1053">
        <v>0</v>
      </c>
    </row>
    <row r="1054" spans="1:13" x14ac:dyDescent="0.25">
      <c r="A1054">
        <v>15</v>
      </c>
      <c r="B1054" t="s">
        <v>37</v>
      </c>
      <c r="C1054">
        <v>3.6</v>
      </c>
      <c r="D1054" t="s">
        <v>38</v>
      </c>
      <c r="E1054">
        <v>7.1</v>
      </c>
      <c r="F1054">
        <v>0.9</v>
      </c>
      <c r="G1054">
        <v>2.84</v>
      </c>
      <c r="H1054">
        <v>0.3</v>
      </c>
      <c r="I1054" t="s">
        <v>36</v>
      </c>
      <c r="J1054">
        <v>1</v>
      </c>
      <c r="K1054">
        <v>9</v>
      </c>
      <c r="L1054">
        <v>4</v>
      </c>
      <c r="M1054">
        <v>0</v>
      </c>
    </row>
    <row r="1055" spans="1:13" x14ac:dyDescent="0.25">
      <c r="A1055">
        <v>19</v>
      </c>
      <c r="B1055" t="s">
        <v>37</v>
      </c>
      <c r="C1055">
        <v>7.6</v>
      </c>
      <c r="D1055" t="s">
        <v>41</v>
      </c>
      <c r="E1055">
        <v>5.4</v>
      </c>
      <c r="F1055">
        <v>1.9</v>
      </c>
      <c r="G1055">
        <v>2.56</v>
      </c>
      <c r="H1055">
        <v>1.4</v>
      </c>
      <c r="I1055" t="s">
        <v>36</v>
      </c>
      <c r="J1055">
        <v>2</v>
      </c>
      <c r="K1055">
        <v>7</v>
      </c>
      <c r="L1055">
        <v>9</v>
      </c>
      <c r="M1055">
        <v>0</v>
      </c>
    </row>
    <row r="1056" spans="1:13" x14ac:dyDescent="0.25">
      <c r="A1056">
        <v>13</v>
      </c>
      <c r="B1056" t="s">
        <v>34</v>
      </c>
      <c r="C1056">
        <v>7.9</v>
      </c>
      <c r="D1056" t="s">
        <v>35</v>
      </c>
      <c r="E1056">
        <v>7.1</v>
      </c>
      <c r="F1056">
        <v>0.7</v>
      </c>
      <c r="G1056">
        <v>2.8</v>
      </c>
      <c r="H1056">
        <v>0.3</v>
      </c>
      <c r="I1056" t="s">
        <v>40</v>
      </c>
      <c r="J1056">
        <v>6</v>
      </c>
      <c r="K1056">
        <v>8</v>
      </c>
      <c r="L1056">
        <v>8</v>
      </c>
      <c r="M1056">
        <v>0</v>
      </c>
    </row>
    <row r="1057" spans="1:13" x14ac:dyDescent="0.25">
      <c r="A1057">
        <v>15</v>
      </c>
      <c r="B1057" t="s">
        <v>34</v>
      </c>
      <c r="C1057">
        <v>2.6</v>
      </c>
      <c r="D1057" t="s">
        <v>41</v>
      </c>
      <c r="E1057">
        <v>6.8</v>
      </c>
      <c r="F1057">
        <v>1.7</v>
      </c>
      <c r="G1057">
        <v>2.06</v>
      </c>
      <c r="H1057">
        <v>0.4</v>
      </c>
      <c r="I1057" t="s">
        <v>40</v>
      </c>
      <c r="J1057">
        <v>8</v>
      </c>
      <c r="K1057">
        <v>6</v>
      </c>
      <c r="L1057">
        <v>6</v>
      </c>
      <c r="M1057">
        <v>0</v>
      </c>
    </row>
    <row r="1058" spans="1:13" x14ac:dyDescent="0.25">
      <c r="A1058">
        <v>19</v>
      </c>
      <c r="B1058" t="s">
        <v>34</v>
      </c>
      <c r="C1058">
        <v>5.7</v>
      </c>
      <c r="D1058" t="s">
        <v>38</v>
      </c>
      <c r="E1058">
        <v>6.4</v>
      </c>
      <c r="F1058">
        <v>0.9</v>
      </c>
      <c r="G1058">
        <v>3.57</v>
      </c>
      <c r="H1058">
        <v>1.5</v>
      </c>
      <c r="I1058" t="s">
        <v>39</v>
      </c>
      <c r="J1058">
        <v>3</v>
      </c>
      <c r="K1058">
        <v>7</v>
      </c>
      <c r="L1058">
        <v>2</v>
      </c>
      <c r="M1058">
        <v>0</v>
      </c>
    </row>
    <row r="1059" spans="1:13" x14ac:dyDescent="0.25">
      <c r="A1059">
        <v>13</v>
      </c>
      <c r="B1059" t="s">
        <v>37</v>
      </c>
      <c r="C1059">
        <v>7.1</v>
      </c>
      <c r="D1059" t="s">
        <v>35</v>
      </c>
      <c r="E1059">
        <v>5.7</v>
      </c>
      <c r="F1059">
        <v>1.2</v>
      </c>
      <c r="G1059">
        <v>3.83</v>
      </c>
      <c r="H1059">
        <v>2</v>
      </c>
      <c r="I1059" t="s">
        <v>40</v>
      </c>
      <c r="J1059">
        <v>2</v>
      </c>
      <c r="K1059">
        <v>8</v>
      </c>
      <c r="L1059">
        <v>7</v>
      </c>
      <c r="M1059">
        <v>0</v>
      </c>
    </row>
    <row r="1060" spans="1:13" x14ac:dyDescent="0.25">
      <c r="A1060">
        <v>13</v>
      </c>
      <c r="B1060" t="s">
        <v>37</v>
      </c>
      <c r="C1060">
        <v>1.3</v>
      </c>
      <c r="D1060" t="s">
        <v>38</v>
      </c>
      <c r="E1060">
        <v>8.6999999999999993</v>
      </c>
      <c r="F1060">
        <v>0.9</v>
      </c>
      <c r="G1060">
        <v>4</v>
      </c>
      <c r="H1060">
        <v>0.1</v>
      </c>
      <c r="I1060" t="s">
        <v>36</v>
      </c>
      <c r="J1060">
        <v>10</v>
      </c>
      <c r="K1060">
        <v>9</v>
      </c>
      <c r="L1060">
        <v>9</v>
      </c>
      <c r="M1060">
        <v>0</v>
      </c>
    </row>
    <row r="1061" spans="1:13" x14ac:dyDescent="0.25">
      <c r="A1061">
        <v>13</v>
      </c>
      <c r="B1061" t="s">
        <v>37</v>
      </c>
      <c r="C1061">
        <v>1.1000000000000001</v>
      </c>
      <c r="D1061" t="s">
        <v>41</v>
      </c>
      <c r="E1061">
        <v>6.7</v>
      </c>
      <c r="F1061">
        <v>2</v>
      </c>
      <c r="G1061">
        <v>3.63</v>
      </c>
      <c r="H1061">
        <v>0.2</v>
      </c>
      <c r="I1061" t="s">
        <v>40</v>
      </c>
      <c r="J1061">
        <v>3</v>
      </c>
      <c r="K1061">
        <v>10</v>
      </c>
      <c r="L1061">
        <v>5</v>
      </c>
      <c r="M1061">
        <v>0</v>
      </c>
    </row>
    <row r="1062" spans="1:13" x14ac:dyDescent="0.25">
      <c r="A1062">
        <v>13</v>
      </c>
      <c r="B1062" t="s">
        <v>37</v>
      </c>
      <c r="C1062">
        <v>3.3</v>
      </c>
      <c r="D1062" t="s">
        <v>38</v>
      </c>
      <c r="E1062">
        <v>9</v>
      </c>
      <c r="F1062">
        <v>0.7</v>
      </c>
      <c r="G1062">
        <v>2.4900000000000002</v>
      </c>
      <c r="H1062">
        <v>0.6</v>
      </c>
      <c r="I1062" t="s">
        <v>40</v>
      </c>
      <c r="J1062">
        <v>3</v>
      </c>
      <c r="K1062">
        <v>6</v>
      </c>
      <c r="L1062">
        <v>4</v>
      </c>
      <c r="M1062">
        <v>0</v>
      </c>
    </row>
    <row r="1063" spans="1:13" x14ac:dyDescent="0.25">
      <c r="A1063">
        <v>16</v>
      </c>
      <c r="B1063" t="s">
        <v>34</v>
      </c>
      <c r="C1063">
        <v>7.4</v>
      </c>
      <c r="D1063" t="s">
        <v>41</v>
      </c>
      <c r="E1063">
        <v>7.2</v>
      </c>
      <c r="F1063">
        <v>1.8</v>
      </c>
      <c r="G1063">
        <v>2.11</v>
      </c>
      <c r="H1063">
        <v>1.4</v>
      </c>
      <c r="I1063" t="s">
        <v>40</v>
      </c>
      <c r="J1063">
        <v>3</v>
      </c>
      <c r="K1063">
        <v>7</v>
      </c>
      <c r="L1063">
        <v>3</v>
      </c>
      <c r="M1063">
        <v>0</v>
      </c>
    </row>
    <row r="1064" spans="1:13" x14ac:dyDescent="0.25">
      <c r="A1064">
        <v>13</v>
      </c>
      <c r="B1064" t="s">
        <v>34</v>
      </c>
      <c r="C1064">
        <v>5.8</v>
      </c>
      <c r="D1064" t="s">
        <v>38</v>
      </c>
      <c r="E1064">
        <v>8.3000000000000007</v>
      </c>
      <c r="F1064">
        <v>2.8</v>
      </c>
      <c r="G1064">
        <v>2.63</v>
      </c>
      <c r="H1064">
        <v>0.6</v>
      </c>
      <c r="I1064" t="s">
        <v>39</v>
      </c>
      <c r="J1064">
        <v>5</v>
      </c>
      <c r="K1064">
        <v>3</v>
      </c>
      <c r="L1064">
        <v>7</v>
      </c>
      <c r="M1064">
        <v>0</v>
      </c>
    </row>
    <row r="1065" spans="1:13" x14ac:dyDescent="0.25">
      <c r="A1065">
        <v>18</v>
      </c>
      <c r="B1065" t="s">
        <v>37</v>
      </c>
      <c r="C1065">
        <v>4.5999999999999996</v>
      </c>
      <c r="D1065" t="s">
        <v>38</v>
      </c>
      <c r="E1065">
        <v>6.8</v>
      </c>
      <c r="F1065">
        <v>1.5</v>
      </c>
      <c r="G1065">
        <v>2.4</v>
      </c>
      <c r="H1065">
        <v>1.4</v>
      </c>
      <c r="I1065" t="s">
        <v>40</v>
      </c>
      <c r="J1065">
        <v>5</v>
      </c>
      <c r="K1065">
        <v>10</v>
      </c>
      <c r="L1065">
        <v>2</v>
      </c>
      <c r="M1065">
        <v>0</v>
      </c>
    </row>
    <row r="1066" spans="1:13" x14ac:dyDescent="0.25">
      <c r="A1066">
        <v>18</v>
      </c>
      <c r="B1066" t="s">
        <v>37</v>
      </c>
      <c r="C1066">
        <v>2.5</v>
      </c>
      <c r="D1066" t="s">
        <v>38</v>
      </c>
      <c r="E1066">
        <v>7.1</v>
      </c>
      <c r="F1066">
        <v>1.6</v>
      </c>
      <c r="G1066">
        <v>3.97</v>
      </c>
      <c r="H1066">
        <v>0.7</v>
      </c>
      <c r="I1066" t="s">
        <v>40</v>
      </c>
      <c r="J1066">
        <v>10</v>
      </c>
      <c r="K1066">
        <v>7</v>
      </c>
      <c r="L1066">
        <v>3</v>
      </c>
      <c r="M1066">
        <v>0</v>
      </c>
    </row>
    <row r="1067" spans="1:13" x14ac:dyDescent="0.25">
      <c r="A1067">
        <v>18</v>
      </c>
      <c r="B1067" t="s">
        <v>34</v>
      </c>
      <c r="C1067">
        <v>4</v>
      </c>
      <c r="D1067" t="s">
        <v>41</v>
      </c>
      <c r="E1067">
        <v>8</v>
      </c>
      <c r="F1067">
        <v>2</v>
      </c>
      <c r="G1067">
        <v>3.04</v>
      </c>
      <c r="H1067">
        <v>1.4</v>
      </c>
      <c r="I1067" t="s">
        <v>39</v>
      </c>
      <c r="J1067">
        <v>3</v>
      </c>
      <c r="K1067">
        <v>1</v>
      </c>
      <c r="L1067">
        <v>8</v>
      </c>
      <c r="M1067">
        <v>0</v>
      </c>
    </row>
    <row r="1068" spans="1:13" x14ac:dyDescent="0.25">
      <c r="A1068">
        <v>17</v>
      </c>
      <c r="B1068" t="s">
        <v>37</v>
      </c>
      <c r="C1068">
        <v>6.6</v>
      </c>
      <c r="D1068" t="s">
        <v>41</v>
      </c>
      <c r="E1068">
        <v>8</v>
      </c>
      <c r="F1068">
        <v>1.9</v>
      </c>
      <c r="G1068">
        <v>2.86</v>
      </c>
      <c r="H1068">
        <v>0.4</v>
      </c>
      <c r="I1068" t="s">
        <v>40</v>
      </c>
      <c r="J1068">
        <v>4</v>
      </c>
      <c r="K1068">
        <v>8</v>
      </c>
      <c r="L1068">
        <v>5</v>
      </c>
      <c r="M1068">
        <v>0</v>
      </c>
    </row>
    <row r="1069" spans="1:13" x14ac:dyDescent="0.25">
      <c r="A1069">
        <v>14</v>
      </c>
      <c r="B1069" t="s">
        <v>37</v>
      </c>
      <c r="C1069">
        <v>2.9</v>
      </c>
      <c r="D1069" t="s">
        <v>38</v>
      </c>
      <c r="E1069">
        <v>5.8</v>
      </c>
      <c r="F1069">
        <v>1.6</v>
      </c>
      <c r="G1069">
        <v>3.34</v>
      </c>
      <c r="H1069">
        <v>1.1000000000000001</v>
      </c>
      <c r="I1069" t="s">
        <v>40</v>
      </c>
      <c r="J1069">
        <v>6</v>
      </c>
      <c r="K1069">
        <v>10</v>
      </c>
      <c r="L1069">
        <v>3</v>
      </c>
      <c r="M1069">
        <v>0</v>
      </c>
    </row>
    <row r="1070" spans="1:13" x14ac:dyDescent="0.25">
      <c r="A1070">
        <v>14</v>
      </c>
      <c r="B1070" t="s">
        <v>34</v>
      </c>
      <c r="C1070">
        <v>7.2</v>
      </c>
      <c r="D1070" t="s">
        <v>38</v>
      </c>
      <c r="E1070">
        <v>5.7</v>
      </c>
      <c r="F1070">
        <v>2.7</v>
      </c>
      <c r="G1070">
        <v>2.76</v>
      </c>
      <c r="H1070">
        <v>0.4</v>
      </c>
      <c r="I1070" t="s">
        <v>36</v>
      </c>
      <c r="J1070">
        <v>7</v>
      </c>
      <c r="K1070">
        <v>3</v>
      </c>
      <c r="L1070">
        <v>7</v>
      </c>
      <c r="M1070">
        <v>0</v>
      </c>
    </row>
    <row r="1071" spans="1:13" x14ac:dyDescent="0.25">
      <c r="A1071">
        <v>13</v>
      </c>
      <c r="B1071" t="s">
        <v>37</v>
      </c>
      <c r="C1071">
        <v>2.9</v>
      </c>
      <c r="D1071" t="s">
        <v>35</v>
      </c>
      <c r="E1071">
        <v>5.3</v>
      </c>
      <c r="F1071">
        <v>1</v>
      </c>
      <c r="G1071">
        <v>3.89</v>
      </c>
      <c r="H1071">
        <v>1.7</v>
      </c>
      <c r="I1071" t="s">
        <v>39</v>
      </c>
      <c r="J1071">
        <v>9</v>
      </c>
      <c r="K1071">
        <v>2</v>
      </c>
      <c r="L1071">
        <v>4</v>
      </c>
      <c r="M1071">
        <v>0</v>
      </c>
    </row>
    <row r="1072" spans="1:13" x14ac:dyDescent="0.25">
      <c r="A1072">
        <v>15</v>
      </c>
      <c r="B1072" t="s">
        <v>37</v>
      </c>
      <c r="C1072">
        <v>7.3</v>
      </c>
      <c r="D1072" t="s">
        <v>41</v>
      </c>
      <c r="E1072">
        <v>5.7</v>
      </c>
      <c r="F1072">
        <v>2.9</v>
      </c>
      <c r="G1072">
        <v>3.48</v>
      </c>
      <c r="H1072">
        <v>1.8</v>
      </c>
      <c r="I1072" t="s">
        <v>40</v>
      </c>
      <c r="J1072">
        <v>2</v>
      </c>
      <c r="K1072">
        <v>7</v>
      </c>
      <c r="L1072">
        <v>8</v>
      </c>
      <c r="M1072">
        <v>0</v>
      </c>
    </row>
    <row r="1073" spans="1:13" x14ac:dyDescent="0.25">
      <c r="A1073">
        <v>16</v>
      </c>
      <c r="B1073" t="s">
        <v>37</v>
      </c>
      <c r="C1073">
        <v>3.7</v>
      </c>
      <c r="D1073" t="s">
        <v>38</v>
      </c>
      <c r="E1073">
        <v>9</v>
      </c>
      <c r="F1073">
        <v>1.5</v>
      </c>
      <c r="G1073">
        <v>3.37</v>
      </c>
      <c r="H1073">
        <v>1.9</v>
      </c>
      <c r="I1073" t="s">
        <v>36</v>
      </c>
      <c r="J1073">
        <v>4</v>
      </c>
      <c r="K1073">
        <v>3</v>
      </c>
      <c r="L1073">
        <v>1</v>
      </c>
      <c r="M1073">
        <v>0</v>
      </c>
    </row>
    <row r="1074" spans="1:13" x14ac:dyDescent="0.25">
      <c r="A1074">
        <v>16</v>
      </c>
      <c r="B1074" t="s">
        <v>34</v>
      </c>
      <c r="C1074">
        <v>7</v>
      </c>
      <c r="D1074" t="s">
        <v>35</v>
      </c>
      <c r="E1074">
        <v>4.8</v>
      </c>
      <c r="F1074">
        <v>1.7</v>
      </c>
      <c r="G1074">
        <v>2.9</v>
      </c>
      <c r="H1074">
        <v>0.3</v>
      </c>
      <c r="I1074" t="s">
        <v>36</v>
      </c>
      <c r="J1074">
        <v>4</v>
      </c>
      <c r="K1074">
        <v>1</v>
      </c>
      <c r="L1074">
        <v>8</v>
      </c>
      <c r="M1074">
        <v>0</v>
      </c>
    </row>
    <row r="1075" spans="1:13" x14ac:dyDescent="0.25">
      <c r="A1075">
        <v>15</v>
      </c>
      <c r="B1075" t="s">
        <v>34</v>
      </c>
      <c r="C1075">
        <v>4</v>
      </c>
      <c r="D1075" t="s">
        <v>38</v>
      </c>
      <c r="E1075">
        <v>8.4</v>
      </c>
      <c r="F1075">
        <v>2.2999999999999998</v>
      </c>
      <c r="G1075">
        <v>2.52</v>
      </c>
      <c r="H1075">
        <v>0.9</v>
      </c>
      <c r="I1075" t="s">
        <v>36</v>
      </c>
      <c r="J1075">
        <v>4</v>
      </c>
      <c r="K1075">
        <v>5</v>
      </c>
      <c r="L1075">
        <v>3</v>
      </c>
      <c r="M1075">
        <v>0</v>
      </c>
    </row>
    <row r="1076" spans="1:13" x14ac:dyDescent="0.25">
      <c r="A1076">
        <v>16</v>
      </c>
      <c r="B1076" t="s">
        <v>34</v>
      </c>
      <c r="C1076">
        <v>2.7</v>
      </c>
      <c r="D1076" t="s">
        <v>41</v>
      </c>
      <c r="E1076">
        <v>7.5</v>
      </c>
      <c r="F1076">
        <v>2.8</v>
      </c>
      <c r="G1076">
        <v>3.53</v>
      </c>
      <c r="H1076">
        <v>0.9</v>
      </c>
      <c r="I1076" t="s">
        <v>40</v>
      </c>
      <c r="J1076">
        <v>3</v>
      </c>
      <c r="K1076">
        <v>1</v>
      </c>
      <c r="L1076">
        <v>5</v>
      </c>
      <c r="M1076">
        <v>0</v>
      </c>
    </row>
    <row r="1077" spans="1:13" x14ac:dyDescent="0.25">
      <c r="A1077">
        <v>15</v>
      </c>
      <c r="B1077" t="s">
        <v>34</v>
      </c>
      <c r="C1077">
        <v>7.2</v>
      </c>
      <c r="D1077" t="s">
        <v>41</v>
      </c>
      <c r="E1077">
        <v>5.7</v>
      </c>
      <c r="F1077">
        <v>0.7</v>
      </c>
      <c r="G1077">
        <v>3.89</v>
      </c>
      <c r="H1077">
        <v>1</v>
      </c>
      <c r="I1077" t="s">
        <v>40</v>
      </c>
      <c r="J1077">
        <v>1</v>
      </c>
      <c r="K1077">
        <v>3</v>
      </c>
      <c r="L1077">
        <v>6</v>
      </c>
      <c r="M1077">
        <v>0</v>
      </c>
    </row>
    <row r="1078" spans="1:13" x14ac:dyDescent="0.25">
      <c r="A1078">
        <v>18</v>
      </c>
      <c r="B1078" t="s">
        <v>34</v>
      </c>
      <c r="C1078">
        <v>7.9</v>
      </c>
      <c r="D1078" t="s">
        <v>41</v>
      </c>
      <c r="E1078">
        <v>7</v>
      </c>
      <c r="F1078">
        <v>2.7</v>
      </c>
      <c r="G1078">
        <v>3.9</v>
      </c>
      <c r="H1078">
        <v>1</v>
      </c>
      <c r="I1078" t="s">
        <v>40</v>
      </c>
      <c r="J1078">
        <v>1</v>
      </c>
      <c r="K1078">
        <v>2</v>
      </c>
      <c r="L1078">
        <v>10</v>
      </c>
      <c r="M1078">
        <v>0</v>
      </c>
    </row>
    <row r="1079" spans="1:13" x14ac:dyDescent="0.25">
      <c r="A1079">
        <v>14</v>
      </c>
      <c r="B1079" t="s">
        <v>37</v>
      </c>
      <c r="C1079">
        <v>5.0999999999999996</v>
      </c>
      <c r="D1079" t="s">
        <v>35</v>
      </c>
      <c r="E1079">
        <v>5.3</v>
      </c>
      <c r="F1079">
        <v>2.2999999999999998</v>
      </c>
      <c r="G1079">
        <v>2.31</v>
      </c>
      <c r="H1079">
        <v>0.2</v>
      </c>
      <c r="I1079" t="s">
        <v>39</v>
      </c>
      <c r="J1079">
        <v>3</v>
      </c>
      <c r="K1079">
        <v>3</v>
      </c>
      <c r="L1079">
        <v>6</v>
      </c>
      <c r="M1079">
        <v>0</v>
      </c>
    </row>
    <row r="1080" spans="1:13" x14ac:dyDescent="0.25">
      <c r="A1080">
        <v>15</v>
      </c>
      <c r="B1080" t="s">
        <v>37</v>
      </c>
      <c r="C1080">
        <v>6.4</v>
      </c>
      <c r="D1080" t="s">
        <v>41</v>
      </c>
      <c r="E1080">
        <v>7.7</v>
      </c>
      <c r="F1080">
        <v>0.7</v>
      </c>
      <c r="G1080">
        <v>3.86</v>
      </c>
      <c r="H1080">
        <v>1.5</v>
      </c>
      <c r="I1080" t="s">
        <v>39</v>
      </c>
      <c r="J1080">
        <v>10</v>
      </c>
      <c r="K1080">
        <v>2</v>
      </c>
      <c r="L1080">
        <v>7</v>
      </c>
      <c r="M1080">
        <v>0</v>
      </c>
    </row>
    <row r="1081" spans="1:13" x14ac:dyDescent="0.25">
      <c r="A1081">
        <v>16</v>
      </c>
      <c r="B1081" t="s">
        <v>37</v>
      </c>
      <c r="C1081">
        <v>4.4000000000000004</v>
      </c>
      <c r="D1081" t="s">
        <v>41</v>
      </c>
      <c r="E1081">
        <v>4.2</v>
      </c>
      <c r="F1081">
        <v>2</v>
      </c>
      <c r="G1081">
        <v>3.89</v>
      </c>
      <c r="H1081">
        <v>1.1000000000000001</v>
      </c>
      <c r="I1081" t="s">
        <v>40</v>
      </c>
      <c r="J1081">
        <v>2</v>
      </c>
      <c r="K1081">
        <v>9</v>
      </c>
      <c r="L1081">
        <v>8</v>
      </c>
      <c r="M1081">
        <v>0</v>
      </c>
    </row>
    <row r="1082" spans="1:13" x14ac:dyDescent="0.25">
      <c r="A1082">
        <v>16</v>
      </c>
      <c r="B1082" t="s">
        <v>34</v>
      </c>
      <c r="C1082">
        <v>7</v>
      </c>
      <c r="D1082" t="s">
        <v>38</v>
      </c>
      <c r="E1082">
        <v>7.4</v>
      </c>
      <c r="F1082">
        <v>2.6</v>
      </c>
      <c r="G1082">
        <v>2.92</v>
      </c>
      <c r="H1082">
        <v>1</v>
      </c>
      <c r="I1082" t="s">
        <v>40</v>
      </c>
      <c r="J1082">
        <v>10</v>
      </c>
      <c r="K1082">
        <v>6</v>
      </c>
      <c r="L1082">
        <v>3</v>
      </c>
      <c r="M1082">
        <v>0</v>
      </c>
    </row>
    <row r="1083" spans="1:13" x14ac:dyDescent="0.25">
      <c r="A1083">
        <v>17</v>
      </c>
      <c r="B1083" t="s">
        <v>37</v>
      </c>
      <c r="C1083">
        <v>7.8</v>
      </c>
      <c r="D1083" t="s">
        <v>38</v>
      </c>
      <c r="E1083">
        <v>5.7</v>
      </c>
      <c r="F1083">
        <v>1.2</v>
      </c>
      <c r="G1083">
        <v>3.72</v>
      </c>
      <c r="H1083">
        <v>1.2</v>
      </c>
      <c r="I1083" t="s">
        <v>39</v>
      </c>
      <c r="J1083">
        <v>10</v>
      </c>
      <c r="K1083">
        <v>2</v>
      </c>
      <c r="L1083">
        <v>6</v>
      </c>
      <c r="M1083">
        <v>0</v>
      </c>
    </row>
    <row r="1084" spans="1:13" x14ac:dyDescent="0.25">
      <c r="A1084">
        <v>14</v>
      </c>
      <c r="B1084" t="s">
        <v>37</v>
      </c>
      <c r="C1084">
        <v>5</v>
      </c>
      <c r="D1084" t="s">
        <v>35</v>
      </c>
      <c r="E1084">
        <v>6.2</v>
      </c>
      <c r="F1084">
        <v>1</v>
      </c>
      <c r="G1084">
        <v>2</v>
      </c>
      <c r="H1084">
        <v>1.5</v>
      </c>
      <c r="I1084" t="s">
        <v>36</v>
      </c>
      <c r="J1084">
        <v>5</v>
      </c>
      <c r="K1084">
        <v>6</v>
      </c>
      <c r="L1084">
        <v>1</v>
      </c>
      <c r="M1084">
        <v>0</v>
      </c>
    </row>
    <row r="1085" spans="1:13" x14ac:dyDescent="0.25">
      <c r="A1085">
        <v>17</v>
      </c>
      <c r="B1085" t="s">
        <v>34</v>
      </c>
      <c r="C1085">
        <v>6.6</v>
      </c>
      <c r="D1085" t="s">
        <v>38</v>
      </c>
      <c r="E1085">
        <v>5.3</v>
      </c>
      <c r="F1085">
        <v>1.1000000000000001</v>
      </c>
      <c r="G1085">
        <v>3.5</v>
      </c>
      <c r="H1085">
        <v>1.7</v>
      </c>
      <c r="I1085" t="s">
        <v>40</v>
      </c>
      <c r="J1085">
        <v>1</v>
      </c>
      <c r="K1085">
        <v>10</v>
      </c>
      <c r="L1085">
        <v>7</v>
      </c>
      <c r="M1085">
        <v>0</v>
      </c>
    </row>
    <row r="1086" spans="1:13" x14ac:dyDescent="0.25">
      <c r="A1086">
        <v>18</v>
      </c>
      <c r="B1086" t="s">
        <v>34</v>
      </c>
      <c r="C1086">
        <v>2.6</v>
      </c>
      <c r="D1086" t="s">
        <v>41</v>
      </c>
      <c r="E1086">
        <v>8.6</v>
      </c>
      <c r="F1086">
        <v>2.7</v>
      </c>
      <c r="G1086">
        <v>3.28</v>
      </c>
      <c r="H1086">
        <v>0.8</v>
      </c>
      <c r="I1086" t="s">
        <v>39</v>
      </c>
      <c r="J1086">
        <v>5</v>
      </c>
      <c r="K1086">
        <v>4</v>
      </c>
      <c r="L1086">
        <v>6</v>
      </c>
      <c r="M1086">
        <v>0</v>
      </c>
    </row>
    <row r="1087" spans="1:13" x14ac:dyDescent="0.25">
      <c r="A1087">
        <v>13</v>
      </c>
      <c r="B1087" t="s">
        <v>37</v>
      </c>
      <c r="C1087">
        <v>5.8</v>
      </c>
      <c r="D1087" t="s">
        <v>35</v>
      </c>
      <c r="E1087">
        <v>4.4000000000000004</v>
      </c>
      <c r="F1087">
        <v>1.8</v>
      </c>
      <c r="G1087">
        <v>3.8</v>
      </c>
      <c r="H1087">
        <v>1</v>
      </c>
      <c r="I1087" t="s">
        <v>39</v>
      </c>
      <c r="J1087">
        <v>2</v>
      </c>
      <c r="K1087">
        <v>2</v>
      </c>
      <c r="L1087">
        <v>1</v>
      </c>
      <c r="M1087">
        <v>0</v>
      </c>
    </row>
    <row r="1088" spans="1:13" x14ac:dyDescent="0.25">
      <c r="A1088">
        <v>14</v>
      </c>
      <c r="B1088" t="s">
        <v>37</v>
      </c>
      <c r="C1088">
        <v>5.6</v>
      </c>
      <c r="D1088" t="s">
        <v>38</v>
      </c>
      <c r="E1088">
        <v>6.8</v>
      </c>
      <c r="F1088">
        <v>2.2999999999999998</v>
      </c>
      <c r="G1088">
        <v>2.66</v>
      </c>
      <c r="H1088">
        <v>1.1000000000000001</v>
      </c>
      <c r="I1088" t="s">
        <v>39</v>
      </c>
      <c r="J1088">
        <v>7</v>
      </c>
      <c r="K1088">
        <v>6</v>
      </c>
      <c r="L1088">
        <v>2</v>
      </c>
      <c r="M1088">
        <v>0</v>
      </c>
    </row>
    <row r="1089" spans="1:13" x14ac:dyDescent="0.25">
      <c r="A1089">
        <v>18</v>
      </c>
      <c r="B1089" t="s">
        <v>34</v>
      </c>
      <c r="C1089">
        <v>4.5999999999999996</v>
      </c>
      <c r="D1089" t="s">
        <v>41</v>
      </c>
      <c r="E1089">
        <v>4.3</v>
      </c>
      <c r="F1089">
        <v>2.9</v>
      </c>
      <c r="G1089">
        <v>2.95</v>
      </c>
      <c r="H1089">
        <v>0.6</v>
      </c>
      <c r="I1089" t="s">
        <v>40</v>
      </c>
      <c r="J1089">
        <v>7</v>
      </c>
      <c r="K1089">
        <v>9</v>
      </c>
      <c r="L1089">
        <v>8</v>
      </c>
      <c r="M1089">
        <v>0</v>
      </c>
    </row>
    <row r="1090" spans="1:13" x14ac:dyDescent="0.25">
      <c r="A1090">
        <v>19</v>
      </c>
      <c r="B1090" t="s">
        <v>34</v>
      </c>
      <c r="C1090">
        <v>1.4</v>
      </c>
      <c r="D1090" t="s">
        <v>41</v>
      </c>
      <c r="E1090">
        <v>4.7</v>
      </c>
      <c r="F1090">
        <v>0.5</v>
      </c>
      <c r="G1090">
        <v>3.57</v>
      </c>
      <c r="H1090">
        <v>1.7</v>
      </c>
      <c r="I1090" t="s">
        <v>39</v>
      </c>
      <c r="J1090">
        <v>1</v>
      </c>
      <c r="K1090">
        <v>5</v>
      </c>
      <c r="L1090">
        <v>6</v>
      </c>
      <c r="M1090">
        <v>0</v>
      </c>
    </row>
    <row r="1091" spans="1:13" x14ac:dyDescent="0.25">
      <c r="A1091">
        <v>13</v>
      </c>
      <c r="B1091" t="s">
        <v>37</v>
      </c>
      <c r="C1091">
        <v>2.9</v>
      </c>
      <c r="D1091" t="s">
        <v>41</v>
      </c>
      <c r="E1091">
        <v>8.1999999999999993</v>
      </c>
      <c r="F1091">
        <v>2.2999999999999998</v>
      </c>
      <c r="G1091">
        <v>2.48</v>
      </c>
      <c r="H1091">
        <v>0.9</v>
      </c>
      <c r="I1091" t="s">
        <v>36</v>
      </c>
      <c r="J1091">
        <v>5</v>
      </c>
      <c r="K1091">
        <v>8</v>
      </c>
      <c r="L1091">
        <v>9</v>
      </c>
      <c r="M1091">
        <v>0</v>
      </c>
    </row>
    <row r="1092" spans="1:13" x14ac:dyDescent="0.25">
      <c r="A1092">
        <v>16</v>
      </c>
      <c r="B1092" t="s">
        <v>37</v>
      </c>
      <c r="C1092">
        <v>7.9</v>
      </c>
      <c r="D1092" t="s">
        <v>35</v>
      </c>
      <c r="E1092">
        <v>6.3</v>
      </c>
      <c r="F1092">
        <v>2.7</v>
      </c>
      <c r="G1092">
        <v>2.88</v>
      </c>
      <c r="H1092">
        <v>0.2</v>
      </c>
      <c r="I1092" t="s">
        <v>39</v>
      </c>
      <c r="J1092">
        <v>2</v>
      </c>
      <c r="K1092">
        <v>7</v>
      </c>
      <c r="L1092">
        <v>5</v>
      </c>
      <c r="M1092">
        <v>0</v>
      </c>
    </row>
    <row r="1093" spans="1:13" x14ac:dyDescent="0.25">
      <c r="A1093">
        <v>13</v>
      </c>
      <c r="B1093" t="s">
        <v>34</v>
      </c>
      <c r="C1093">
        <v>3.5</v>
      </c>
      <c r="D1093" t="s">
        <v>41</v>
      </c>
      <c r="E1093">
        <v>6.8</v>
      </c>
      <c r="F1093">
        <v>2.2999999999999998</v>
      </c>
      <c r="G1093">
        <v>2.2799999999999998</v>
      </c>
      <c r="H1093">
        <v>1</v>
      </c>
      <c r="I1093" t="s">
        <v>36</v>
      </c>
      <c r="J1093">
        <v>7</v>
      </c>
      <c r="K1093">
        <v>2</v>
      </c>
      <c r="L1093">
        <v>6</v>
      </c>
      <c r="M1093">
        <v>0</v>
      </c>
    </row>
    <row r="1094" spans="1:13" x14ac:dyDescent="0.25">
      <c r="A1094">
        <v>14</v>
      </c>
      <c r="B1094" t="s">
        <v>37</v>
      </c>
      <c r="C1094">
        <v>3.8</v>
      </c>
      <c r="D1094" t="s">
        <v>35</v>
      </c>
      <c r="E1094">
        <v>7.9</v>
      </c>
      <c r="F1094">
        <v>1.2</v>
      </c>
      <c r="G1094">
        <v>3.24</v>
      </c>
      <c r="H1094">
        <v>1.6</v>
      </c>
      <c r="I1094" t="s">
        <v>39</v>
      </c>
      <c r="J1094">
        <v>6</v>
      </c>
      <c r="K1094">
        <v>10</v>
      </c>
      <c r="L1094">
        <v>5</v>
      </c>
      <c r="M1094">
        <v>0</v>
      </c>
    </row>
    <row r="1095" spans="1:13" x14ac:dyDescent="0.25">
      <c r="A1095">
        <v>19</v>
      </c>
      <c r="B1095" t="s">
        <v>34</v>
      </c>
      <c r="C1095">
        <v>2.9</v>
      </c>
      <c r="D1095" t="s">
        <v>35</v>
      </c>
      <c r="E1095">
        <v>8.6999999999999993</v>
      </c>
      <c r="F1095">
        <v>0.9</v>
      </c>
      <c r="G1095">
        <v>2.99</v>
      </c>
      <c r="H1095">
        <v>0.8</v>
      </c>
      <c r="I1095" t="s">
        <v>40</v>
      </c>
      <c r="J1095">
        <v>7</v>
      </c>
      <c r="K1095">
        <v>8</v>
      </c>
      <c r="L1095">
        <v>2</v>
      </c>
      <c r="M1095">
        <v>0</v>
      </c>
    </row>
    <row r="1096" spans="1:13" x14ac:dyDescent="0.25">
      <c r="A1096">
        <v>17</v>
      </c>
      <c r="B1096" t="s">
        <v>34</v>
      </c>
      <c r="C1096">
        <v>3.5</v>
      </c>
      <c r="D1096" t="s">
        <v>41</v>
      </c>
      <c r="E1096">
        <v>4.5999999999999996</v>
      </c>
      <c r="F1096">
        <v>0.7</v>
      </c>
      <c r="G1096">
        <v>3.9</v>
      </c>
      <c r="H1096">
        <v>0.6</v>
      </c>
      <c r="I1096" t="s">
        <v>39</v>
      </c>
      <c r="J1096">
        <v>7</v>
      </c>
      <c r="K1096">
        <v>3</v>
      </c>
      <c r="L1096">
        <v>1</v>
      </c>
      <c r="M1096">
        <v>0</v>
      </c>
    </row>
    <row r="1097" spans="1:13" x14ac:dyDescent="0.25">
      <c r="A1097">
        <v>16</v>
      </c>
      <c r="B1097" t="s">
        <v>34</v>
      </c>
      <c r="C1097">
        <v>4.8</v>
      </c>
      <c r="D1097" t="s">
        <v>35</v>
      </c>
      <c r="E1097">
        <v>8.6</v>
      </c>
      <c r="F1097">
        <v>1.8</v>
      </c>
      <c r="G1097">
        <v>2.44</v>
      </c>
      <c r="H1097">
        <v>1.7</v>
      </c>
      <c r="I1097" t="s">
        <v>39</v>
      </c>
      <c r="J1097">
        <v>8</v>
      </c>
      <c r="K1097">
        <v>7</v>
      </c>
      <c r="L1097">
        <v>3</v>
      </c>
      <c r="M1097">
        <v>0</v>
      </c>
    </row>
    <row r="1098" spans="1:13" x14ac:dyDescent="0.25">
      <c r="A1098">
        <v>13</v>
      </c>
      <c r="B1098" t="s">
        <v>34</v>
      </c>
      <c r="C1098">
        <v>5.8</v>
      </c>
      <c r="D1098" t="s">
        <v>38</v>
      </c>
      <c r="E1098">
        <v>7.2</v>
      </c>
      <c r="F1098">
        <v>1.1000000000000001</v>
      </c>
      <c r="G1098">
        <v>2.69</v>
      </c>
      <c r="H1098">
        <v>0.4</v>
      </c>
      <c r="I1098" t="s">
        <v>36</v>
      </c>
      <c r="J1098">
        <v>7</v>
      </c>
      <c r="K1098">
        <v>3</v>
      </c>
      <c r="L1098">
        <v>7</v>
      </c>
      <c r="M1098">
        <v>0</v>
      </c>
    </row>
    <row r="1099" spans="1:13" x14ac:dyDescent="0.25">
      <c r="A1099">
        <v>16</v>
      </c>
      <c r="B1099" t="s">
        <v>37</v>
      </c>
      <c r="C1099">
        <v>6.1</v>
      </c>
      <c r="D1099" t="s">
        <v>41</v>
      </c>
      <c r="E1099">
        <v>7.5</v>
      </c>
      <c r="F1099">
        <v>2.5</v>
      </c>
      <c r="G1099">
        <v>3.14</v>
      </c>
      <c r="H1099">
        <v>0.5</v>
      </c>
      <c r="I1099" t="s">
        <v>36</v>
      </c>
      <c r="J1099">
        <v>9</v>
      </c>
      <c r="K1099">
        <v>6</v>
      </c>
      <c r="L1099">
        <v>10</v>
      </c>
      <c r="M1099">
        <v>0</v>
      </c>
    </row>
    <row r="1100" spans="1:13" x14ac:dyDescent="0.25">
      <c r="A1100">
        <v>14</v>
      </c>
      <c r="B1100" t="s">
        <v>37</v>
      </c>
      <c r="C1100">
        <v>4.3</v>
      </c>
      <c r="D1100" t="s">
        <v>41</v>
      </c>
      <c r="E1100">
        <v>7.8</v>
      </c>
      <c r="F1100">
        <v>0.5</v>
      </c>
      <c r="G1100">
        <v>3.92</v>
      </c>
      <c r="H1100">
        <v>0.7</v>
      </c>
      <c r="I1100" t="s">
        <v>39</v>
      </c>
      <c r="J1100">
        <v>3</v>
      </c>
      <c r="K1100">
        <v>4</v>
      </c>
      <c r="L1100">
        <v>8</v>
      </c>
      <c r="M1100">
        <v>0</v>
      </c>
    </row>
    <row r="1101" spans="1:13" x14ac:dyDescent="0.25">
      <c r="A1101">
        <v>15</v>
      </c>
      <c r="B1101" t="s">
        <v>37</v>
      </c>
      <c r="C1101">
        <v>7.8</v>
      </c>
      <c r="D1101" t="s">
        <v>35</v>
      </c>
      <c r="E1101">
        <v>4.5999999999999996</v>
      </c>
      <c r="F1101">
        <v>3</v>
      </c>
      <c r="G1101">
        <v>2.44</v>
      </c>
      <c r="H1101">
        <v>1.4</v>
      </c>
      <c r="I1101" t="s">
        <v>40</v>
      </c>
      <c r="J1101">
        <v>8</v>
      </c>
      <c r="K1101">
        <v>10</v>
      </c>
      <c r="L1101">
        <v>6</v>
      </c>
      <c r="M1101">
        <v>1</v>
      </c>
    </row>
    <row r="1102" spans="1:13" x14ac:dyDescent="0.25">
      <c r="A1102">
        <v>15</v>
      </c>
      <c r="B1102" t="s">
        <v>37</v>
      </c>
      <c r="C1102">
        <v>5.2</v>
      </c>
      <c r="D1102" t="s">
        <v>38</v>
      </c>
      <c r="E1102">
        <v>7.5</v>
      </c>
      <c r="F1102">
        <v>1.1000000000000001</v>
      </c>
      <c r="G1102">
        <v>3.61</v>
      </c>
      <c r="H1102">
        <v>0.1</v>
      </c>
      <c r="I1102" t="s">
        <v>36</v>
      </c>
      <c r="J1102">
        <v>4</v>
      </c>
      <c r="K1102">
        <v>6</v>
      </c>
      <c r="L1102">
        <v>7</v>
      </c>
      <c r="M1102">
        <v>0</v>
      </c>
    </row>
    <row r="1103" spans="1:13" x14ac:dyDescent="0.25">
      <c r="A1103">
        <v>17</v>
      </c>
      <c r="B1103" t="s">
        <v>34</v>
      </c>
      <c r="C1103">
        <v>3.5</v>
      </c>
      <c r="D1103" t="s">
        <v>35</v>
      </c>
      <c r="E1103">
        <v>4.3</v>
      </c>
      <c r="F1103">
        <v>2.2000000000000002</v>
      </c>
      <c r="G1103">
        <v>3.19</v>
      </c>
      <c r="H1103">
        <v>1</v>
      </c>
      <c r="I1103" t="s">
        <v>39</v>
      </c>
      <c r="J1103">
        <v>4</v>
      </c>
      <c r="K1103">
        <v>5</v>
      </c>
      <c r="L1103">
        <v>9</v>
      </c>
      <c r="M1103">
        <v>0</v>
      </c>
    </row>
    <row r="1104" spans="1:13" x14ac:dyDescent="0.25">
      <c r="A1104">
        <v>16</v>
      </c>
      <c r="B1104" t="s">
        <v>37</v>
      </c>
      <c r="C1104">
        <v>6.5</v>
      </c>
      <c r="D1104" t="s">
        <v>38</v>
      </c>
      <c r="E1104">
        <v>4.5999999999999996</v>
      </c>
      <c r="F1104">
        <v>1.8</v>
      </c>
      <c r="G1104">
        <v>2.2000000000000002</v>
      </c>
      <c r="H1104">
        <v>1.2</v>
      </c>
      <c r="I1104" t="s">
        <v>36</v>
      </c>
      <c r="J1104">
        <v>7</v>
      </c>
      <c r="K1104">
        <v>4</v>
      </c>
      <c r="L1104">
        <v>4</v>
      </c>
      <c r="M1104">
        <v>0</v>
      </c>
    </row>
    <row r="1105" spans="1:13" x14ac:dyDescent="0.25">
      <c r="A1105">
        <v>17</v>
      </c>
      <c r="B1105" t="s">
        <v>34</v>
      </c>
      <c r="C1105">
        <v>4.7</v>
      </c>
      <c r="D1105" t="s">
        <v>38</v>
      </c>
      <c r="E1105">
        <v>7.2</v>
      </c>
      <c r="F1105">
        <v>2.7</v>
      </c>
      <c r="G1105">
        <v>2.06</v>
      </c>
      <c r="H1105">
        <v>1.4</v>
      </c>
      <c r="I1105" t="s">
        <v>36</v>
      </c>
      <c r="J1105">
        <v>3</v>
      </c>
      <c r="K1105">
        <v>1</v>
      </c>
      <c r="L1105">
        <v>4</v>
      </c>
      <c r="M1105">
        <v>0</v>
      </c>
    </row>
    <row r="1106" spans="1:13" x14ac:dyDescent="0.25">
      <c r="A1106">
        <v>13</v>
      </c>
      <c r="B1106" t="s">
        <v>34</v>
      </c>
      <c r="C1106">
        <v>2.5</v>
      </c>
      <c r="D1106" t="s">
        <v>35</v>
      </c>
      <c r="E1106">
        <v>6.3</v>
      </c>
      <c r="F1106">
        <v>1.8</v>
      </c>
      <c r="G1106">
        <v>2.2000000000000002</v>
      </c>
      <c r="H1106">
        <v>0.1</v>
      </c>
      <c r="I1106" t="s">
        <v>39</v>
      </c>
      <c r="J1106">
        <v>9</v>
      </c>
      <c r="K1106">
        <v>3</v>
      </c>
      <c r="L1106">
        <v>9</v>
      </c>
      <c r="M1106">
        <v>0</v>
      </c>
    </row>
    <row r="1107" spans="1:13" x14ac:dyDescent="0.25">
      <c r="A1107">
        <v>19</v>
      </c>
      <c r="B1107" t="s">
        <v>37</v>
      </c>
      <c r="C1107">
        <v>5.5</v>
      </c>
      <c r="D1107" t="s">
        <v>38</v>
      </c>
      <c r="E1107">
        <v>7.4</v>
      </c>
      <c r="F1107">
        <v>2</v>
      </c>
      <c r="G1107">
        <v>2.8</v>
      </c>
      <c r="H1107">
        <v>1.8</v>
      </c>
      <c r="I1107" t="s">
        <v>39</v>
      </c>
      <c r="J1107">
        <v>9</v>
      </c>
      <c r="K1107">
        <v>8</v>
      </c>
      <c r="L1107">
        <v>10</v>
      </c>
      <c r="M1107">
        <v>0</v>
      </c>
    </row>
    <row r="1108" spans="1:13" x14ac:dyDescent="0.25">
      <c r="A1108">
        <v>15</v>
      </c>
      <c r="B1108" t="s">
        <v>37</v>
      </c>
      <c r="C1108">
        <v>3.5</v>
      </c>
      <c r="D1108" t="s">
        <v>35</v>
      </c>
      <c r="E1108">
        <v>8</v>
      </c>
      <c r="F1108">
        <v>1.9</v>
      </c>
      <c r="G1108">
        <v>3.45</v>
      </c>
      <c r="H1108">
        <v>1.5</v>
      </c>
      <c r="I1108" t="s">
        <v>39</v>
      </c>
      <c r="J1108">
        <v>10</v>
      </c>
      <c r="K1108">
        <v>4</v>
      </c>
      <c r="L1108">
        <v>1</v>
      </c>
      <c r="M1108">
        <v>0</v>
      </c>
    </row>
    <row r="1109" spans="1:13" x14ac:dyDescent="0.25">
      <c r="A1109">
        <v>14</v>
      </c>
      <c r="B1109" t="s">
        <v>37</v>
      </c>
      <c r="C1109">
        <v>4.5999999999999996</v>
      </c>
      <c r="D1109" t="s">
        <v>38</v>
      </c>
      <c r="E1109">
        <v>7</v>
      </c>
      <c r="F1109">
        <v>1.6</v>
      </c>
      <c r="G1109">
        <v>2.74</v>
      </c>
      <c r="H1109">
        <v>0.9</v>
      </c>
      <c r="I1109" t="s">
        <v>36</v>
      </c>
      <c r="J1109">
        <v>3</v>
      </c>
      <c r="K1109">
        <v>2</v>
      </c>
      <c r="L1109">
        <v>9</v>
      </c>
      <c r="M1109">
        <v>0</v>
      </c>
    </row>
    <row r="1110" spans="1:13" x14ac:dyDescent="0.25">
      <c r="A1110">
        <v>13</v>
      </c>
      <c r="B1110" t="s">
        <v>37</v>
      </c>
      <c r="C1110">
        <v>3.5</v>
      </c>
      <c r="D1110" t="s">
        <v>35</v>
      </c>
      <c r="E1110">
        <v>6.9</v>
      </c>
      <c r="F1110">
        <v>1.6</v>
      </c>
      <c r="G1110">
        <v>2.08</v>
      </c>
      <c r="H1110">
        <v>0.7</v>
      </c>
      <c r="I1110" t="s">
        <v>36</v>
      </c>
      <c r="J1110">
        <v>9</v>
      </c>
      <c r="K1110">
        <v>9</v>
      </c>
      <c r="L1110">
        <v>9</v>
      </c>
      <c r="M1110">
        <v>0</v>
      </c>
    </row>
    <row r="1111" spans="1:13" x14ac:dyDescent="0.25">
      <c r="A1111">
        <v>19</v>
      </c>
      <c r="B1111" t="s">
        <v>34</v>
      </c>
      <c r="C1111">
        <v>1.6</v>
      </c>
      <c r="D1111" t="s">
        <v>38</v>
      </c>
      <c r="E1111">
        <v>8.6</v>
      </c>
      <c r="F1111">
        <v>1.4</v>
      </c>
      <c r="G1111">
        <v>2.69</v>
      </c>
      <c r="H1111">
        <v>1.6</v>
      </c>
      <c r="I1111" t="s">
        <v>40</v>
      </c>
      <c r="J1111">
        <v>4</v>
      </c>
      <c r="K1111">
        <v>3</v>
      </c>
      <c r="L1111">
        <v>4</v>
      </c>
      <c r="M1111">
        <v>0</v>
      </c>
    </row>
    <row r="1112" spans="1:13" x14ac:dyDescent="0.25">
      <c r="A1112">
        <v>13</v>
      </c>
      <c r="B1112" t="s">
        <v>37</v>
      </c>
      <c r="C1112">
        <v>3.2</v>
      </c>
      <c r="D1112" t="s">
        <v>41</v>
      </c>
      <c r="E1112">
        <v>5.9</v>
      </c>
      <c r="F1112">
        <v>0.7</v>
      </c>
      <c r="G1112">
        <v>3.98</v>
      </c>
      <c r="H1112">
        <v>0.8</v>
      </c>
      <c r="I1112" t="s">
        <v>36</v>
      </c>
      <c r="J1112">
        <v>6</v>
      </c>
      <c r="K1112">
        <v>8</v>
      </c>
      <c r="L1112">
        <v>1</v>
      </c>
      <c r="M1112">
        <v>0</v>
      </c>
    </row>
    <row r="1113" spans="1:13" x14ac:dyDescent="0.25">
      <c r="A1113">
        <v>19</v>
      </c>
      <c r="B1113" t="s">
        <v>37</v>
      </c>
      <c r="C1113">
        <v>1.7</v>
      </c>
      <c r="D1113" t="s">
        <v>41</v>
      </c>
      <c r="E1113">
        <v>7</v>
      </c>
      <c r="F1113">
        <v>2.7</v>
      </c>
      <c r="G1113">
        <v>2.0699999999999998</v>
      </c>
      <c r="H1113">
        <v>0.5</v>
      </c>
      <c r="I1113" t="s">
        <v>39</v>
      </c>
      <c r="J1113">
        <v>6</v>
      </c>
      <c r="K1113">
        <v>4</v>
      </c>
      <c r="L1113">
        <v>10</v>
      </c>
      <c r="M1113">
        <v>0</v>
      </c>
    </row>
    <row r="1114" spans="1:13" x14ac:dyDescent="0.25">
      <c r="A1114">
        <v>14</v>
      </c>
      <c r="B1114" t="s">
        <v>34</v>
      </c>
      <c r="C1114">
        <v>6.4</v>
      </c>
      <c r="D1114" t="s">
        <v>35</v>
      </c>
      <c r="E1114">
        <v>4.3</v>
      </c>
      <c r="F1114">
        <v>2.2999999999999998</v>
      </c>
      <c r="G1114">
        <v>3.99</v>
      </c>
      <c r="H1114">
        <v>1.1000000000000001</v>
      </c>
      <c r="I1114" t="s">
        <v>36</v>
      </c>
      <c r="J1114">
        <v>7</v>
      </c>
      <c r="K1114">
        <v>4</v>
      </c>
      <c r="L1114">
        <v>3</v>
      </c>
      <c r="M1114">
        <v>0</v>
      </c>
    </row>
    <row r="1115" spans="1:13" x14ac:dyDescent="0.25">
      <c r="A1115">
        <v>13</v>
      </c>
      <c r="B1115" t="s">
        <v>37</v>
      </c>
      <c r="C1115">
        <v>3.3</v>
      </c>
      <c r="D1115" t="s">
        <v>38</v>
      </c>
      <c r="E1115">
        <v>6.4</v>
      </c>
      <c r="F1115">
        <v>1</v>
      </c>
      <c r="G1115">
        <v>2.4900000000000002</v>
      </c>
      <c r="H1115">
        <v>1</v>
      </c>
      <c r="I1115" t="s">
        <v>36</v>
      </c>
      <c r="J1115">
        <v>9</v>
      </c>
      <c r="K1115">
        <v>2</v>
      </c>
      <c r="L1115">
        <v>4</v>
      </c>
      <c r="M1115">
        <v>0</v>
      </c>
    </row>
    <row r="1116" spans="1:13" x14ac:dyDescent="0.25">
      <c r="A1116">
        <v>18</v>
      </c>
      <c r="B1116" t="s">
        <v>34</v>
      </c>
      <c r="C1116">
        <v>1.2</v>
      </c>
      <c r="D1116" t="s">
        <v>41</v>
      </c>
      <c r="E1116">
        <v>6.8</v>
      </c>
      <c r="F1116">
        <v>2.6</v>
      </c>
      <c r="G1116">
        <v>2.85</v>
      </c>
      <c r="H1116">
        <v>1.8</v>
      </c>
      <c r="I1116" t="s">
        <v>40</v>
      </c>
      <c r="J1116">
        <v>4</v>
      </c>
      <c r="K1116">
        <v>3</v>
      </c>
      <c r="L1116">
        <v>9</v>
      </c>
      <c r="M1116">
        <v>0</v>
      </c>
    </row>
    <row r="1117" spans="1:13" x14ac:dyDescent="0.25">
      <c r="A1117">
        <v>13</v>
      </c>
      <c r="B1117" t="s">
        <v>37</v>
      </c>
      <c r="C1117">
        <v>2.5</v>
      </c>
      <c r="D1117" t="s">
        <v>41</v>
      </c>
      <c r="E1117">
        <v>7.8</v>
      </c>
      <c r="F1117">
        <v>1.4</v>
      </c>
      <c r="G1117">
        <v>3.43</v>
      </c>
      <c r="H1117">
        <v>0.9</v>
      </c>
      <c r="I1117" t="s">
        <v>40</v>
      </c>
      <c r="J1117">
        <v>1</v>
      </c>
      <c r="K1117">
        <v>4</v>
      </c>
      <c r="L1117">
        <v>6</v>
      </c>
      <c r="M1117">
        <v>0</v>
      </c>
    </row>
    <row r="1118" spans="1:13" x14ac:dyDescent="0.25">
      <c r="A1118">
        <v>16</v>
      </c>
      <c r="B1118" t="s">
        <v>34</v>
      </c>
      <c r="C1118">
        <v>2.2000000000000002</v>
      </c>
      <c r="D1118" t="s">
        <v>38</v>
      </c>
      <c r="E1118">
        <v>5.0999999999999996</v>
      </c>
      <c r="F1118">
        <v>2.2999999999999998</v>
      </c>
      <c r="G1118">
        <v>3.6</v>
      </c>
      <c r="H1118">
        <v>1</v>
      </c>
      <c r="I1118" t="s">
        <v>39</v>
      </c>
      <c r="J1118">
        <v>4</v>
      </c>
      <c r="K1118">
        <v>7</v>
      </c>
      <c r="L1118">
        <v>6</v>
      </c>
      <c r="M1118">
        <v>0</v>
      </c>
    </row>
    <row r="1119" spans="1:13" x14ac:dyDescent="0.25">
      <c r="A1119">
        <v>18</v>
      </c>
      <c r="B1119" t="s">
        <v>37</v>
      </c>
      <c r="C1119">
        <v>5.2</v>
      </c>
      <c r="D1119" t="s">
        <v>41</v>
      </c>
      <c r="E1119">
        <v>7.1</v>
      </c>
      <c r="F1119">
        <v>1.9</v>
      </c>
      <c r="G1119">
        <v>2.87</v>
      </c>
      <c r="H1119">
        <v>1.7</v>
      </c>
      <c r="I1119" t="s">
        <v>40</v>
      </c>
      <c r="J1119">
        <v>5</v>
      </c>
      <c r="K1119">
        <v>8</v>
      </c>
      <c r="L1119">
        <v>6</v>
      </c>
      <c r="M1119">
        <v>0</v>
      </c>
    </row>
    <row r="1120" spans="1:13" x14ac:dyDescent="0.25">
      <c r="A1120">
        <v>16</v>
      </c>
      <c r="B1120" t="s">
        <v>34</v>
      </c>
      <c r="C1120">
        <v>7.9</v>
      </c>
      <c r="D1120" t="s">
        <v>35</v>
      </c>
      <c r="E1120">
        <v>8.6999999999999993</v>
      </c>
      <c r="F1120">
        <v>2.5</v>
      </c>
      <c r="G1120">
        <v>2.29</v>
      </c>
      <c r="H1120">
        <v>0.7</v>
      </c>
      <c r="I1120" t="s">
        <v>39</v>
      </c>
      <c r="J1120">
        <v>7</v>
      </c>
      <c r="K1120">
        <v>7</v>
      </c>
      <c r="L1120">
        <v>4</v>
      </c>
      <c r="M1120">
        <v>0</v>
      </c>
    </row>
    <row r="1121" spans="1:13" x14ac:dyDescent="0.25">
      <c r="A1121">
        <v>18</v>
      </c>
      <c r="B1121" t="s">
        <v>34</v>
      </c>
      <c r="C1121">
        <v>5.6</v>
      </c>
      <c r="D1121" t="s">
        <v>41</v>
      </c>
      <c r="E1121">
        <v>8</v>
      </c>
      <c r="F1121">
        <v>2.4</v>
      </c>
      <c r="G1121">
        <v>2.95</v>
      </c>
      <c r="H1121">
        <v>0</v>
      </c>
      <c r="I1121" t="s">
        <v>36</v>
      </c>
      <c r="J1121">
        <v>2</v>
      </c>
      <c r="K1121">
        <v>10</v>
      </c>
      <c r="L1121">
        <v>3</v>
      </c>
      <c r="M1121">
        <v>0</v>
      </c>
    </row>
    <row r="1122" spans="1:13" x14ac:dyDescent="0.25">
      <c r="A1122">
        <v>16</v>
      </c>
      <c r="B1122" t="s">
        <v>34</v>
      </c>
      <c r="C1122">
        <v>3.9</v>
      </c>
      <c r="D1122" t="s">
        <v>38</v>
      </c>
      <c r="E1122">
        <v>4.2</v>
      </c>
      <c r="F1122">
        <v>2.1</v>
      </c>
      <c r="G1122">
        <v>2.2799999999999998</v>
      </c>
      <c r="H1122">
        <v>1.1000000000000001</v>
      </c>
      <c r="I1122" t="s">
        <v>40</v>
      </c>
      <c r="J1122">
        <v>6</v>
      </c>
      <c r="K1122">
        <v>5</v>
      </c>
      <c r="L1122">
        <v>7</v>
      </c>
      <c r="M1122">
        <v>0</v>
      </c>
    </row>
    <row r="1123" spans="1:13" x14ac:dyDescent="0.25">
      <c r="A1123">
        <v>18</v>
      </c>
      <c r="B1123" t="s">
        <v>37</v>
      </c>
      <c r="C1123">
        <v>1.8</v>
      </c>
      <c r="D1123" t="s">
        <v>38</v>
      </c>
      <c r="E1123">
        <v>6.1</v>
      </c>
      <c r="F1123">
        <v>2.7</v>
      </c>
      <c r="G1123">
        <v>2.86</v>
      </c>
      <c r="H1123">
        <v>1.1000000000000001</v>
      </c>
      <c r="I1123" t="s">
        <v>36</v>
      </c>
      <c r="J1123">
        <v>4</v>
      </c>
      <c r="K1123">
        <v>2</v>
      </c>
      <c r="L1123">
        <v>4</v>
      </c>
      <c r="M1123">
        <v>0</v>
      </c>
    </row>
    <row r="1124" spans="1:13" x14ac:dyDescent="0.25">
      <c r="A1124">
        <v>18</v>
      </c>
      <c r="B1124" t="s">
        <v>37</v>
      </c>
      <c r="C1124">
        <v>5.8</v>
      </c>
      <c r="D1124" t="s">
        <v>41</v>
      </c>
      <c r="E1124">
        <v>5.0999999999999996</v>
      </c>
      <c r="F1124">
        <v>1.2</v>
      </c>
      <c r="G1124">
        <v>3.24</v>
      </c>
      <c r="H1124">
        <v>0.4</v>
      </c>
      <c r="I1124" t="s">
        <v>39</v>
      </c>
      <c r="J1124">
        <v>5</v>
      </c>
      <c r="K1124">
        <v>9</v>
      </c>
      <c r="L1124">
        <v>2</v>
      </c>
      <c r="M1124">
        <v>0</v>
      </c>
    </row>
    <row r="1125" spans="1:13" x14ac:dyDescent="0.25">
      <c r="A1125">
        <v>18</v>
      </c>
      <c r="B1125" t="s">
        <v>37</v>
      </c>
      <c r="C1125">
        <v>2.2000000000000002</v>
      </c>
      <c r="D1125" t="s">
        <v>35</v>
      </c>
      <c r="E1125">
        <v>4.4000000000000004</v>
      </c>
      <c r="F1125">
        <v>1.7</v>
      </c>
      <c r="G1125">
        <v>2.86</v>
      </c>
      <c r="H1125">
        <v>1.1000000000000001</v>
      </c>
      <c r="I1125" t="s">
        <v>39</v>
      </c>
      <c r="J1125">
        <v>8</v>
      </c>
      <c r="K1125">
        <v>9</v>
      </c>
      <c r="L1125">
        <v>7</v>
      </c>
      <c r="M1125">
        <v>0</v>
      </c>
    </row>
    <row r="1126" spans="1:13" x14ac:dyDescent="0.25">
      <c r="A1126">
        <v>17</v>
      </c>
      <c r="B1126" t="s">
        <v>34</v>
      </c>
      <c r="C1126">
        <v>6.9</v>
      </c>
      <c r="D1126" t="s">
        <v>41</v>
      </c>
      <c r="E1126">
        <v>4.5999999999999996</v>
      </c>
      <c r="F1126">
        <v>2.5</v>
      </c>
      <c r="G1126">
        <v>2.04</v>
      </c>
      <c r="H1126">
        <v>0.8</v>
      </c>
      <c r="I1126" t="s">
        <v>39</v>
      </c>
      <c r="J1126">
        <v>10</v>
      </c>
      <c r="K1126">
        <v>9</v>
      </c>
      <c r="L1126">
        <v>2</v>
      </c>
      <c r="M1126">
        <v>1</v>
      </c>
    </row>
    <row r="1127" spans="1:13" x14ac:dyDescent="0.25">
      <c r="A1127">
        <v>14</v>
      </c>
      <c r="B1127" t="s">
        <v>37</v>
      </c>
      <c r="C1127">
        <v>5.7</v>
      </c>
      <c r="D1127" t="s">
        <v>35</v>
      </c>
      <c r="E1127">
        <v>6.7</v>
      </c>
      <c r="F1127">
        <v>2.6</v>
      </c>
      <c r="G1127">
        <v>2.35</v>
      </c>
      <c r="H1127">
        <v>1.8</v>
      </c>
      <c r="I1127" t="s">
        <v>39</v>
      </c>
      <c r="J1127">
        <v>10</v>
      </c>
      <c r="K1127">
        <v>10</v>
      </c>
      <c r="L1127">
        <v>7</v>
      </c>
      <c r="M1127">
        <v>0</v>
      </c>
    </row>
    <row r="1128" spans="1:13" x14ac:dyDescent="0.25">
      <c r="A1128">
        <v>17</v>
      </c>
      <c r="B1128" t="s">
        <v>34</v>
      </c>
      <c r="C1128">
        <v>7.5</v>
      </c>
      <c r="D1128" t="s">
        <v>38</v>
      </c>
      <c r="E1128">
        <v>5.6</v>
      </c>
      <c r="F1128">
        <v>2.2999999999999998</v>
      </c>
      <c r="G1128">
        <v>2.37</v>
      </c>
      <c r="H1128">
        <v>0</v>
      </c>
      <c r="I1128" t="s">
        <v>39</v>
      </c>
      <c r="J1128">
        <v>3</v>
      </c>
      <c r="K1128">
        <v>10</v>
      </c>
      <c r="L1128">
        <v>8</v>
      </c>
      <c r="M1128">
        <v>0</v>
      </c>
    </row>
    <row r="1129" spans="1:13" x14ac:dyDescent="0.25">
      <c r="A1129">
        <v>13</v>
      </c>
      <c r="B1129" t="s">
        <v>34</v>
      </c>
      <c r="C1129">
        <v>5.2</v>
      </c>
      <c r="D1129" t="s">
        <v>41</v>
      </c>
      <c r="E1129">
        <v>6.4</v>
      </c>
      <c r="F1129">
        <v>2.5</v>
      </c>
      <c r="G1129">
        <v>3.13</v>
      </c>
      <c r="H1129">
        <v>0.3</v>
      </c>
      <c r="I1129" t="s">
        <v>40</v>
      </c>
      <c r="J1129">
        <v>8</v>
      </c>
      <c r="K1129">
        <v>6</v>
      </c>
      <c r="L1129">
        <v>7</v>
      </c>
      <c r="M1129">
        <v>0</v>
      </c>
    </row>
    <row r="1130" spans="1:13" x14ac:dyDescent="0.25">
      <c r="A1130">
        <v>16</v>
      </c>
      <c r="B1130" t="s">
        <v>34</v>
      </c>
      <c r="C1130">
        <v>7.2</v>
      </c>
      <c r="D1130" t="s">
        <v>41</v>
      </c>
      <c r="E1130">
        <v>6.9</v>
      </c>
      <c r="F1130">
        <v>2.1</v>
      </c>
      <c r="G1130">
        <v>2.3199999999999998</v>
      </c>
      <c r="H1130">
        <v>1.1000000000000001</v>
      </c>
      <c r="I1130" t="s">
        <v>36</v>
      </c>
      <c r="J1130">
        <v>3</v>
      </c>
      <c r="K1130">
        <v>4</v>
      </c>
      <c r="L1130">
        <v>10</v>
      </c>
      <c r="M1130">
        <v>0</v>
      </c>
    </row>
    <row r="1131" spans="1:13" x14ac:dyDescent="0.25">
      <c r="A1131">
        <v>19</v>
      </c>
      <c r="B1131" t="s">
        <v>34</v>
      </c>
      <c r="C1131">
        <v>2</v>
      </c>
      <c r="D1131" t="s">
        <v>38</v>
      </c>
      <c r="E1131">
        <v>4.3</v>
      </c>
      <c r="F1131">
        <v>0.8</v>
      </c>
      <c r="G1131">
        <v>3.4</v>
      </c>
      <c r="H1131">
        <v>0.7</v>
      </c>
      <c r="I1131" t="s">
        <v>36</v>
      </c>
      <c r="J1131">
        <v>8</v>
      </c>
      <c r="K1131">
        <v>1</v>
      </c>
      <c r="L1131">
        <v>1</v>
      </c>
      <c r="M1131">
        <v>0</v>
      </c>
    </row>
    <row r="1132" spans="1:13" x14ac:dyDescent="0.25">
      <c r="A1132">
        <v>13</v>
      </c>
      <c r="B1132" t="s">
        <v>37</v>
      </c>
      <c r="C1132">
        <v>4.7</v>
      </c>
      <c r="D1132" t="s">
        <v>41</v>
      </c>
      <c r="E1132">
        <v>6.8</v>
      </c>
      <c r="F1132">
        <v>1.4</v>
      </c>
      <c r="G1132">
        <v>3.91</v>
      </c>
      <c r="H1132">
        <v>0.8</v>
      </c>
      <c r="I1132" t="s">
        <v>39</v>
      </c>
      <c r="J1132">
        <v>10</v>
      </c>
      <c r="K1132">
        <v>6</v>
      </c>
      <c r="L1132">
        <v>9</v>
      </c>
      <c r="M1132">
        <v>0</v>
      </c>
    </row>
    <row r="1133" spans="1:13" x14ac:dyDescent="0.25">
      <c r="A1133">
        <v>14</v>
      </c>
      <c r="B1133" t="s">
        <v>34</v>
      </c>
      <c r="C1133">
        <v>5.6</v>
      </c>
      <c r="D1133" t="s">
        <v>41</v>
      </c>
      <c r="E1133">
        <v>4.5</v>
      </c>
      <c r="F1133">
        <v>1.4</v>
      </c>
      <c r="G1133">
        <v>2.44</v>
      </c>
      <c r="H1133">
        <v>1.2</v>
      </c>
      <c r="I1133" t="s">
        <v>36</v>
      </c>
      <c r="J1133">
        <v>5</v>
      </c>
      <c r="K1133">
        <v>10</v>
      </c>
      <c r="L1133">
        <v>9</v>
      </c>
      <c r="M1133">
        <v>0</v>
      </c>
    </row>
    <row r="1134" spans="1:13" x14ac:dyDescent="0.25">
      <c r="A1134">
        <v>18</v>
      </c>
      <c r="B1134" t="s">
        <v>37</v>
      </c>
      <c r="C1134">
        <v>4.5</v>
      </c>
      <c r="D1134" t="s">
        <v>35</v>
      </c>
      <c r="E1134">
        <v>4</v>
      </c>
      <c r="F1134">
        <v>2.9</v>
      </c>
      <c r="G1134">
        <v>3.15</v>
      </c>
      <c r="H1134">
        <v>1.9</v>
      </c>
      <c r="I1134" t="s">
        <v>40</v>
      </c>
      <c r="J1134">
        <v>8</v>
      </c>
      <c r="K1134">
        <v>6</v>
      </c>
      <c r="L1134">
        <v>5</v>
      </c>
      <c r="M1134">
        <v>0</v>
      </c>
    </row>
    <row r="1135" spans="1:13" x14ac:dyDescent="0.25">
      <c r="A1135">
        <v>15</v>
      </c>
      <c r="B1135" t="s">
        <v>37</v>
      </c>
      <c r="C1135">
        <v>1.1000000000000001</v>
      </c>
      <c r="D1135" t="s">
        <v>35</v>
      </c>
      <c r="E1135">
        <v>9</v>
      </c>
      <c r="F1135">
        <v>1.2</v>
      </c>
      <c r="G1135">
        <v>2.9</v>
      </c>
      <c r="H1135">
        <v>1.8</v>
      </c>
      <c r="I1135" t="s">
        <v>40</v>
      </c>
      <c r="J1135">
        <v>5</v>
      </c>
      <c r="K1135">
        <v>10</v>
      </c>
      <c r="L1135">
        <v>2</v>
      </c>
      <c r="M1135">
        <v>0</v>
      </c>
    </row>
    <row r="1136" spans="1:13" x14ac:dyDescent="0.25">
      <c r="A1136">
        <v>18</v>
      </c>
      <c r="B1136" t="s">
        <v>37</v>
      </c>
      <c r="C1136">
        <v>5.3</v>
      </c>
      <c r="D1136" t="s">
        <v>41</v>
      </c>
      <c r="E1136">
        <v>4.5999999999999996</v>
      </c>
      <c r="F1136">
        <v>1.5</v>
      </c>
      <c r="G1136">
        <v>2.54</v>
      </c>
      <c r="H1136">
        <v>0.6</v>
      </c>
      <c r="I1136" t="s">
        <v>40</v>
      </c>
      <c r="J1136">
        <v>4</v>
      </c>
      <c r="K1136">
        <v>3</v>
      </c>
      <c r="L1136">
        <v>4</v>
      </c>
      <c r="M1136">
        <v>0</v>
      </c>
    </row>
    <row r="1137" spans="1:13" x14ac:dyDescent="0.25">
      <c r="A1137">
        <v>14</v>
      </c>
      <c r="B1137" t="s">
        <v>37</v>
      </c>
      <c r="C1137">
        <v>3.5</v>
      </c>
      <c r="D1137" t="s">
        <v>41</v>
      </c>
      <c r="E1137">
        <v>5.3</v>
      </c>
      <c r="F1137">
        <v>2.5</v>
      </c>
      <c r="G1137">
        <v>2.29</v>
      </c>
      <c r="H1137">
        <v>0.7</v>
      </c>
      <c r="I1137" t="s">
        <v>36</v>
      </c>
      <c r="J1137">
        <v>1</v>
      </c>
      <c r="K1137">
        <v>10</v>
      </c>
      <c r="L1137">
        <v>3</v>
      </c>
      <c r="M1137">
        <v>0</v>
      </c>
    </row>
    <row r="1138" spans="1:13" x14ac:dyDescent="0.25">
      <c r="A1138">
        <v>15</v>
      </c>
      <c r="B1138" t="s">
        <v>34</v>
      </c>
      <c r="C1138">
        <v>6.5</v>
      </c>
      <c r="D1138" t="s">
        <v>41</v>
      </c>
      <c r="E1138">
        <v>6.2</v>
      </c>
      <c r="F1138">
        <v>1.2</v>
      </c>
      <c r="G1138">
        <v>3.19</v>
      </c>
      <c r="H1138">
        <v>0</v>
      </c>
      <c r="I1138" t="s">
        <v>40</v>
      </c>
      <c r="J1138">
        <v>6</v>
      </c>
      <c r="K1138">
        <v>5</v>
      </c>
      <c r="L1138">
        <v>2</v>
      </c>
      <c r="M1138">
        <v>0</v>
      </c>
    </row>
    <row r="1139" spans="1:13" x14ac:dyDescent="0.25">
      <c r="A1139">
        <v>14</v>
      </c>
      <c r="B1139" t="s">
        <v>34</v>
      </c>
      <c r="C1139">
        <v>7</v>
      </c>
      <c r="D1139" t="s">
        <v>41</v>
      </c>
      <c r="E1139">
        <v>6.7</v>
      </c>
      <c r="F1139">
        <v>1.9</v>
      </c>
      <c r="G1139">
        <v>2.48</v>
      </c>
      <c r="H1139">
        <v>1.3</v>
      </c>
      <c r="I1139" t="s">
        <v>36</v>
      </c>
      <c r="J1139">
        <v>7</v>
      </c>
      <c r="K1139">
        <v>1</v>
      </c>
      <c r="L1139">
        <v>5</v>
      </c>
      <c r="M1139">
        <v>0</v>
      </c>
    </row>
    <row r="1140" spans="1:13" x14ac:dyDescent="0.25">
      <c r="A1140">
        <v>14</v>
      </c>
      <c r="B1140" t="s">
        <v>37</v>
      </c>
      <c r="C1140">
        <v>4</v>
      </c>
      <c r="D1140" t="s">
        <v>38</v>
      </c>
      <c r="E1140">
        <v>4.0999999999999996</v>
      </c>
      <c r="F1140">
        <v>0.9</v>
      </c>
      <c r="G1140">
        <v>2.99</v>
      </c>
      <c r="H1140">
        <v>1.9</v>
      </c>
      <c r="I1140" t="s">
        <v>36</v>
      </c>
      <c r="J1140">
        <v>2</v>
      </c>
      <c r="K1140">
        <v>9</v>
      </c>
      <c r="L1140">
        <v>10</v>
      </c>
      <c r="M1140">
        <v>0</v>
      </c>
    </row>
    <row r="1141" spans="1:13" x14ac:dyDescent="0.25">
      <c r="A1141">
        <v>15</v>
      </c>
      <c r="B1141" t="s">
        <v>37</v>
      </c>
      <c r="C1141">
        <v>1.7</v>
      </c>
      <c r="D1141" t="s">
        <v>35</v>
      </c>
      <c r="E1141">
        <v>5.3</v>
      </c>
      <c r="F1141">
        <v>1.5</v>
      </c>
      <c r="G1141">
        <v>3.6</v>
      </c>
      <c r="H1141">
        <v>1.5</v>
      </c>
      <c r="I1141" t="s">
        <v>39</v>
      </c>
      <c r="J1141">
        <v>6</v>
      </c>
      <c r="K1141">
        <v>4</v>
      </c>
      <c r="L1141">
        <v>3</v>
      </c>
      <c r="M1141">
        <v>0</v>
      </c>
    </row>
    <row r="1142" spans="1:13" x14ac:dyDescent="0.25">
      <c r="A1142">
        <v>14</v>
      </c>
      <c r="B1142" t="s">
        <v>37</v>
      </c>
      <c r="C1142">
        <v>7.8</v>
      </c>
      <c r="D1142" t="s">
        <v>38</v>
      </c>
      <c r="E1142">
        <v>4.7</v>
      </c>
      <c r="F1142">
        <v>2.2000000000000002</v>
      </c>
      <c r="G1142">
        <v>3.53</v>
      </c>
      <c r="H1142">
        <v>0.6</v>
      </c>
      <c r="I1142" t="s">
        <v>36</v>
      </c>
      <c r="J1142">
        <v>5</v>
      </c>
      <c r="K1142">
        <v>8</v>
      </c>
      <c r="L1142">
        <v>2</v>
      </c>
      <c r="M1142">
        <v>0</v>
      </c>
    </row>
    <row r="1143" spans="1:13" x14ac:dyDescent="0.25">
      <c r="A1143">
        <v>15</v>
      </c>
      <c r="B1143" t="s">
        <v>37</v>
      </c>
      <c r="C1143">
        <v>5.2</v>
      </c>
      <c r="D1143" t="s">
        <v>35</v>
      </c>
      <c r="E1143">
        <v>6.7</v>
      </c>
      <c r="F1143">
        <v>3</v>
      </c>
      <c r="G1143">
        <v>3.18</v>
      </c>
      <c r="H1143">
        <v>0.6</v>
      </c>
      <c r="I1143" t="s">
        <v>36</v>
      </c>
      <c r="J1143">
        <v>9</v>
      </c>
      <c r="K1143">
        <v>7</v>
      </c>
      <c r="L1143">
        <v>9</v>
      </c>
      <c r="M1143">
        <v>0</v>
      </c>
    </row>
    <row r="1144" spans="1:13" x14ac:dyDescent="0.25">
      <c r="A1144">
        <v>19</v>
      </c>
      <c r="B1144" t="s">
        <v>37</v>
      </c>
      <c r="C1144">
        <v>7.9</v>
      </c>
      <c r="D1144" t="s">
        <v>38</v>
      </c>
      <c r="E1144">
        <v>5.8</v>
      </c>
      <c r="F1144">
        <v>2.1</v>
      </c>
      <c r="G1144">
        <v>3.91</v>
      </c>
      <c r="H1144">
        <v>1.4</v>
      </c>
      <c r="I1144" t="s">
        <v>39</v>
      </c>
      <c r="J1144">
        <v>7</v>
      </c>
      <c r="K1144">
        <v>1</v>
      </c>
      <c r="L1144">
        <v>10</v>
      </c>
      <c r="M1144">
        <v>0</v>
      </c>
    </row>
    <row r="1145" spans="1:13" x14ac:dyDescent="0.25">
      <c r="A1145">
        <v>17</v>
      </c>
      <c r="B1145" t="s">
        <v>34</v>
      </c>
      <c r="C1145">
        <v>5.9</v>
      </c>
      <c r="D1145" t="s">
        <v>41</v>
      </c>
      <c r="E1145">
        <v>6.6</v>
      </c>
      <c r="F1145">
        <v>1.3</v>
      </c>
      <c r="G1145">
        <v>2.11</v>
      </c>
      <c r="H1145">
        <v>1.4</v>
      </c>
      <c r="I1145" t="s">
        <v>36</v>
      </c>
      <c r="J1145">
        <v>10</v>
      </c>
      <c r="K1145">
        <v>4</v>
      </c>
      <c r="L1145">
        <v>9</v>
      </c>
      <c r="M1145">
        <v>0</v>
      </c>
    </row>
    <row r="1146" spans="1:13" x14ac:dyDescent="0.25">
      <c r="A1146">
        <v>13</v>
      </c>
      <c r="B1146" t="s">
        <v>37</v>
      </c>
      <c r="C1146">
        <v>2.6</v>
      </c>
      <c r="D1146" t="s">
        <v>38</v>
      </c>
      <c r="E1146">
        <v>8.5</v>
      </c>
      <c r="F1146">
        <v>1.9</v>
      </c>
      <c r="G1146">
        <v>3.06</v>
      </c>
      <c r="H1146">
        <v>1.9</v>
      </c>
      <c r="I1146" t="s">
        <v>39</v>
      </c>
      <c r="J1146">
        <v>5</v>
      </c>
      <c r="K1146">
        <v>7</v>
      </c>
      <c r="L1146">
        <v>6</v>
      </c>
      <c r="M1146">
        <v>0</v>
      </c>
    </row>
    <row r="1147" spans="1:13" x14ac:dyDescent="0.25">
      <c r="A1147">
        <v>18</v>
      </c>
      <c r="B1147" t="s">
        <v>37</v>
      </c>
      <c r="C1147">
        <v>6.3</v>
      </c>
      <c r="D1147" t="s">
        <v>38</v>
      </c>
      <c r="E1147">
        <v>4.8</v>
      </c>
      <c r="F1147">
        <v>1.2</v>
      </c>
      <c r="G1147">
        <v>2.91</v>
      </c>
      <c r="H1147">
        <v>1.3</v>
      </c>
      <c r="I1147" t="s">
        <v>40</v>
      </c>
      <c r="J1147">
        <v>9</v>
      </c>
      <c r="K1147">
        <v>10</v>
      </c>
      <c r="L1147">
        <v>3</v>
      </c>
      <c r="M1147">
        <v>1</v>
      </c>
    </row>
    <row r="1148" spans="1:13" x14ac:dyDescent="0.25">
      <c r="A1148">
        <v>19</v>
      </c>
      <c r="B1148" t="s">
        <v>37</v>
      </c>
      <c r="C1148">
        <v>4.5</v>
      </c>
      <c r="D1148" t="s">
        <v>38</v>
      </c>
      <c r="E1148">
        <v>8.4</v>
      </c>
      <c r="F1148">
        <v>2.1</v>
      </c>
      <c r="G1148">
        <v>2.62</v>
      </c>
      <c r="H1148">
        <v>2</v>
      </c>
      <c r="I1148" t="s">
        <v>36</v>
      </c>
      <c r="J1148">
        <v>5</v>
      </c>
      <c r="K1148">
        <v>10</v>
      </c>
      <c r="L1148">
        <v>5</v>
      </c>
      <c r="M1148">
        <v>0</v>
      </c>
    </row>
    <row r="1149" spans="1:13" x14ac:dyDescent="0.25">
      <c r="A1149">
        <v>19</v>
      </c>
      <c r="B1149" t="s">
        <v>34</v>
      </c>
      <c r="C1149">
        <v>5.3</v>
      </c>
      <c r="D1149" t="s">
        <v>35</v>
      </c>
      <c r="E1149">
        <v>4.7</v>
      </c>
      <c r="F1149">
        <v>2.8</v>
      </c>
      <c r="G1149">
        <v>2.82</v>
      </c>
      <c r="H1149">
        <v>0.3</v>
      </c>
      <c r="I1149" t="s">
        <v>39</v>
      </c>
      <c r="J1149">
        <v>1</v>
      </c>
      <c r="K1149">
        <v>9</v>
      </c>
      <c r="L1149">
        <v>6</v>
      </c>
      <c r="M1149">
        <v>0</v>
      </c>
    </row>
    <row r="1150" spans="1:13" x14ac:dyDescent="0.25">
      <c r="A1150">
        <v>13</v>
      </c>
      <c r="B1150" t="s">
        <v>37</v>
      </c>
      <c r="C1150">
        <v>5.2</v>
      </c>
      <c r="D1150" t="s">
        <v>41</v>
      </c>
      <c r="E1150">
        <v>7.4</v>
      </c>
      <c r="F1150">
        <v>2.5</v>
      </c>
      <c r="G1150">
        <v>3.93</v>
      </c>
      <c r="H1150">
        <v>0.8</v>
      </c>
      <c r="I1150" t="s">
        <v>36</v>
      </c>
      <c r="J1150">
        <v>4</v>
      </c>
      <c r="K1150">
        <v>4</v>
      </c>
      <c r="L1150">
        <v>8</v>
      </c>
      <c r="M1150">
        <v>0</v>
      </c>
    </row>
    <row r="1151" spans="1:13" x14ac:dyDescent="0.25">
      <c r="A1151">
        <v>15</v>
      </c>
      <c r="B1151" t="s">
        <v>34</v>
      </c>
      <c r="C1151">
        <v>3.3</v>
      </c>
      <c r="D1151" t="s">
        <v>41</v>
      </c>
      <c r="E1151">
        <v>6.1</v>
      </c>
      <c r="F1151">
        <v>1.2</v>
      </c>
      <c r="G1151">
        <v>2.56</v>
      </c>
      <c r="H1151">
        <v>1.4</v>
      </c>
      <c r="I1151" t="s">
        <v>36</v>
      </c>
      <c r="J1151">
        <v>8</v>
      </c>
      <c r="K1151">
        <v>6</v>
      </c>
      <c r="L1151">
        <v>3</v>
      </c>
      <c r="M1151">
        <v>0</v>
      </c>
    </row>
    <row r="1152" spans="1:13" x14ac:dyDescent="0.25">
      <c r="A1152">
        <v>14</v>
      </c>
      <c r="B1152" t="s">
        <v>37</v>
      </c>
      <c r="C1152">
        <v>1.1000000000000001</v>
      </c>
      <c r="D1152" t="s">
        <v>41</v>
      </c>
      <c r="E1152">
        <v>5.4</v>
      </c>
      <c r="F1152">
        <v>1.6</v>
      </c>
      <c r="G1152">
        <v>3.34</v>
      </c>
      <c r="H1152">
        <v>1.5</v>
      </c>
      <c r="I1152" t="s">
        <v>40</v>
      </c>
      <c r="J1152">
        <v>4</v>
      </c>
      <c r="K1152">
        <v>5</v>
      </c>
      <c r="L1152">
        <v>8</v>
      </c>
      <c r="M1152">
        <v>0</v>
      </c>
    </row>
    <row r="1153" spans="1:13" x14ac:dyDescent="0.25">
      <c r="A1153">
        <v>17</v>
      </c>
      <c r="B1153" t="s">
        <v>37</v>
      </c>
      <c r="C1153">
        <v>5</v>
      </c>
      <c r="D1153" t="s">
        <v>35</v>
      </c>
      <c r="E1153">
        <v>7.3</v>
      </c>
      <c r="F1153">
        <v>1.2</v>
      </c>
      <c r="G1153">
        <v>3.39</v>
      </c>
      <c r="H1153">
        <v>0.7</v>
      </c>
      <c r="I1153" t="s">
        <v>40</v>
      </c>
      <c r="J1153">
        <v>9</v>
      </c>
      <c r="K1153">
        <v>10</v>
      </c>
      <c r="L1153">
        <v>8</v>
      </c>
      <c r="M1153">
        <v>0</v>
      </c>
    </row>
    <row r="1154" spans="1:13" x14ac:dyDescent="0.25">
      <c r="A1154">
        <v>15</v>
      </c>
      <c r="B1154" t="s">
        <v>37</v>
      </c>
      <c r="C1154">
        <v>7.4</v>
      </c>
      <c r="D1154" t="s">
        <v>38</v>
      </c>
      <c r="E1154">
        <v>8.6</v>
      </c>
      <c r="F1154">
        <v>1.4</v>
      </c>
      <c r="G1154">
        <v>2.19</v>
      </c>
      <c r="H1154">
        <v>1.8</v>
      </c>
      <c r="I1154" t="s">
        <v>36</v>
      </c>
      <c r="J1154">
        <v>10</v>
      </c>
      <c r="K1154">
        <v>10</v>
      </c>
      <c r="L1154">
        <v>1</v>
      </c>
      <c r="M1154">
        <v>0</v>
      </c>
    </row>
    <row r="1155" spans="1:13" x14ac:dyDescent="0.25">
      <c r="A1155">
        <v>15</v>
      </c>
      <c r="B1155" t="s">
        <v>37</v>
      </c>
      <c r="C1155">
        <v>7.4</v>
      </c>
      <c r="D1155" t="s">
        <v>38</v>
      </c>
      <c r="E1155">
        <v>8.9</v>
      </c>
      <c r="F1155">
        <v>2.9</v>
      </c>
      <c r="G1155">
        <v>3.39</v>
      </c>
      <c r="H1155">
        <v>1.1000000000000001</v>
      </c>
      <c r="I1155" t="s">
        <v>39</v>
      </c>
      <c r="J1155">
        <v>4</v>
      </c>
      <c r="K1155">
        <v>9</v>
      </c>
      <c r="L1155">
        <v>1</v>
      </c>
      <c r="M1155">
        <v>0</v>
      </c>
    </row>
    <row r="1156" spans="1:13" x14ac:dyDescent="0.25">
      <c r="A1156">
        <v>17</v>
      </c>
      <c r="B1156" t="s">
        <v>34</v>
      </c>
      <c r="C1156">
        <v>6.6</v>
      </c>
      <c r="D1156" t="s">
        <v>38</v>
      </c>
      <c r="E1156">
        <v>5.2</v>
      </c>
      <c r="F1156">
        <v>2.2000000000000002</v>
      </c>
      <c r="G1156">
        <v>2.98</v>
      </c>
      <c r="H1156">
        <v>0.8</v>
      </c>
      <c r="I1156" t="s">
        <v>39</v>
      </c>
      <c r="J1156">
        <v>6</v>
      </c>
      <c r="K1156">
        <v>8</v>
      </c>
      <c r="L1156">
        <v>7</v>
      </c>
      <c r="M1156">
        <v>0</v>
      </c>
    </row>
    <row r="1157" spans="1:13" x14ac:dyDescent="0.25">
      <c r="A1157">
        <v>13</v>
      </c>
      <c r="B1157" t="s">
        <v>37</v>
      </c>
      <c r="C1157">
        <v>7.1</v>
      </c>
      <c r="D1157" t="s">
        <v>41</v>
      </c>
      <c r="E1157">
        <v>7.2</v>
      </c>
      <c r="F1157">
        <v>1.1000000000000001</v>
      </c>
      <c r="G1157">
        <v>3.69</v>
      </c>
      <c r="H1157">
        <v>1</v>
      </c>
      <c r="I1157" t="s">
        <v>36</v>
      </c>
      <c r="J1157">
        <v>4</v>
      </c>
      <c r="K1157">
        <v>6</v>
      </c>
      <c r="L1157">
        <v>3</v>
      </c>
      <c r="M1157">
        <v>0</v>
      </c>
    </row>
    <row r="1158" spans="1:13" x14ac:dyDescent="0.25">
      <c r="A1158">
        <v>15</v>
      </c>
      <c r="B1158" t="s">
        <v>37</v>
      </c>
      <c r="C1158">
        <v>1.1000000000000001</v>
      </c>
      <c r="D1158" t="s">
        <v>38</v>
      </c>
      <c r="E1158">
        <v>8.6</v>
      </c>
      <c r="F1158">
        <v>2.2999999999999998</v>
      </c>
      <c r="G1158">
        <v>3.68</v>
      </c>
      <c r="H1158">
        <v>0.5</v>
      </c>
      <c r="I1158" t="s">
        <v>36</v>
      </c>
      <c r="J1158">
        <v>1</v>
      </c>
      <c r="K1158">
        <v>2</v>
      </c>
      <c r="L1158">
        <v>7</v>
      </c>
      <c r="M1158">
        <v>0</v>
      </c>
    </row>
    <row r="1159" spans="1:13" x14ac:dyDescent="0.25">
      <c r="A1159">
        <v>13</v>
      </c>
      <c r="B1159" t="s">
        <v>37</v>
      </c>
      <c r="C1159">
        <v>3.6</v>
      </c>
      <c r="D1159" t="s">
        <v>38</v>
      </c>
      <c r="E1159">
        <v>8.6999999999999993</v>
      </c>
      <c r="F1159">
        <v>0.8</v>
      </c>
      <c r="G1159">
        <v>2.41</v>
      </c>
      <c r="H1159">
        <v>1.3</v>
      </c>
      <c r="I1159" t="s">
        <v>36</v>
      </c>
      <c r="J1159">
        <v>4</v>
      </c>
      <c r="K1159">
        <v>6</v>
      </c>
      <c r="L1159">
        <v>8</v>
      </c>
      <c r="M1159">
        <v>0</v>
      </c>
    </row>
    <row r="1160" spans="1:13" x14ac:dyDescent="0.25">
      <c r="A1160">
        <v>16</v>
      </c>
      <c r="B1160" t="s">
        <v>34</v>
      </c>
      <c r="C1160">
        <v>5.0999999999999996</v>
      </c>
      <c r="D1160" t="s">
        <v>38</v>
      </c>
      <c r="E1160">
        <v>4.5999999999999996</v>
      </c>
      <c r="F1160">
        <v>1.1000000000000001</v>
      </c>
      <c r="G1160">
        <v>2.75</v>
      </c>
      <c r="H1160">
        <v>1.5</v>
      </c>
      <c r="I1160" t="s">
        <v>40</v>
      </c>
      <c r="J1160">
        <v>6</v>
      </c>
      <c r="K1160">
        <v>3</v>
      </c>
      <c r="L1160">
        <v>6</v>
      </c>
      <c r="M1160">
        <v>0</v>
      </c>
    </row>
    <row r="1161" spans="1:13" x14ac:dyDescent="0.25">
      <c r="A1161">
        <v>19</v>
      </c>
      <c r="B1161" t="s">
        <v>37</v>
      </c>
      <c r="C1161">
        <v>7.3</v>
      </c>
      <c r="D1161" t="s">
        <v>35</v>
      </c>
      <c r="E1161">
        <v>7.8</v>
      </c>
      <c r="F1161">
        <v>1</v>
      </c>
      <c r="G1161">
        <v>2.91</v>
      </c>
      <c r="H1161">
        <v>0.8</v>
      </c>
      <c r="I1161" t="s">
        <v>40</v>
      </c>
      <c r="J1161">
        <v>9</v>
      </c>
      <c r="K1161">
        <v>7</v>
      </c>
      <c r="L1161">
        <v>5</v>
      </c>
      <c r="M1161">
        <v>0</v>
      </c>
    </row>
    <row r="1162" spans="1:13" x14ac:dyDescent="0.25">
      <c r="A1162">
        <v>13</v>
      </c>
      <c r="B1162" t="s">
        <v>37</v>
      </c>
      <c r="C1162">
        <v>7.7</v>
      </c>
      <c r="D1162" t="s">
        <v>41</v>
      </c>
      <c r="E1162">
        <v>7.5</v>
      </c>
      <c r="F1162">
        <v>1.4</v>
      </c>
      <c r="G1162">
        <v>2.2400000000000002</v>
      </c>
      <c r="H1162">
        <v>0.1</v>
      </c>
      <c r="I1162" t="s">
        <v>36</v>
      </c>
      <c r="J1162">
        <v>5</v>
      </c>
      <c r="K1162">
        <v>3</v>
      </c>
      <c r="L1162">
        <v>3</v>
      </c>
      <c r="M1162">
        <v>0</v>
      </c>
    </row>
    <row r="1163" spans="1:13" x14ac:dyDescent="0.25">
      <c r="A1163">
        <v>13</v>
      </c>
      <c r="B1163" t="s">
        <v>37</v>
      </c>
      <c r="C1163">
        <v>7.9</v>
      </c>
      <c r="D1163" t="s">
        <v>38</v>
      </c>
      <c r="E1163">
        <v>4.0999999999999996</v>
      </c>
      <c r="F1163">
        <v>1.6</v>
      </c>
      <c r="G1163">
        <v>2.74</v>
      </c>
      <c r="H1163">
        <v>0.9</v>
      </c>
      <c r="I1163" t="s">
        <v>40</v>
      </c>
      <c r="J1163">
        <v>9</v>
      </c>
      <c r="K1163">
        <v>3</v>
      </c>
      <c r="L1163">
        <v>5</v>
      </c>
      <c r="M1163">
        <v>0</v>
      </c>
    </row>
    <row r="1164" spans="1:13" x14ac:dyDescent="0.25">
      <c r="A1164">
        <v>16</v>
      </c>
      <c r="B1164" t="s">
        <v>37</v>
      </c>
      <c r="C1164">
        <v>5.5</v>
      </c>
      <c r="D1164" t="s">
        <v>41</v>
      </c>
      <c r="E1164">
        <v>5.8</v>
      </c>
      <c r="F1164">
        <v>2.5</v>
      </c>
      <c r="G1164">
        <v>2.34</v>
      </c>
      <c r="H1164">
        <v>1</v>
      </c>
      <c r="I1164" t="s">
        <v>36</v>
      </c>
      <c r="J1164">
        <v>5</v>
      </c>
      <c r="K1164">
        <v>2</v>
      </c>
      <c r="L1164">
        <v>8</v>
      </c>
      <c r="M1164">
        <v>0</v>
      </c>
    </row>
    <row r="1165" spans="1:13" x14ac:dyDescent="0.25">
      <c r="A1165">
        <v>19</v>
      </c>
      <c r="B1165" t="s">
        <v>34</v>
      </c>
      <c r="C1165">
        <v>4</v>
      </c>
      <c r="D1165" t="s">
        <v>35</v>
      </c>
      <c r="E1165">
        <v>7.8</v>
      </c>
      <c r="F1165">
        <v>0.6</v>
      </c>
      <c r="G1165">
        <v>3.61</v>
      </c>
      <c r="H1165">
        <v>1.7</v>
      </c>
      <c r="I1165" t="s">
        <v>39</v>
      </c>
      <c r="J1165">
        <v>2</v>
      </c>
      <c r="K1165">
        <v>7</v>
      </c>
      <c r="L1165">
        <v>9</v>
      </c>
      <c r="M1165">
        <v>0</v>
      </c>
    </row>
    <row r="1166" spans="1:13" x14ac:dyDescent="0.25">
      <c r="A1166">
        <v>15</v>
      </c>
      <c r="B1166" t="s">
        <v>37</v>
      </c>
      <c r="C1166">
        <v>7.9</v>
      </c>
      <c r="D1166" t="s">
        <v>38</v>
      </c>
      <c r="E1166">
        <v>4.7</v>
      </c>
      <c r="F1166">
        <v>1.5</v>
      </c>
      <c r="G1166">
        <v>3.3</v>
      </c>
      <c r="H1166">
        <v>0</v>
      </c>
      <c r="I1166" t="s">
        <v>36</v>
      </c>
      <c r="J1166">
        <v>5</v>
      </c>
      <c r="K1166">
        <v>8</v>
      </c>
      <c r="L1166">
        <v>5</v>
      </c>
      <c r="M1166">
        <v>0</v>
      </c>
    </row>
    <row r="1167" spans="1:13" x14ac:dyDescent="0.25">
      <c r="A1167">
        <v>18</v>
      </c>
      <c r="B1167" t="s">
        <v>37</v>
      </c>
      <c r="C1167">
        <v>5.5</v>
      </c>
      <c r="D1167" t="s">
        <v>41</v>
      </c>
      <c r="E1167">
        <v>8.1999999999999993</v>
      </c>
      <c r="F1167">
        <v>0.5</v>
      </c>
      <c r="G1167">
        <v>3.15</v>
      </c>
      <c r="H1167">
        <v>1.2</v>
      </c>
      <c r="I1167" t="s">
        <v>40</v>
      </c>
      <c r="J1167">
        <v>8</v>
      </c>
      <c r="K1167">
        <v>7</v>
      </c>
      <c r="L1167">
        <v>7</v>
      </c>
      <c r="M1167">
        <v>0</v>
      </c>
    </row>
    <row r="1168" spans="1:13" x14ac:dyDescent="0.25">
      <c r="A1168">
        <v>17</v>
      </c>
      <c r="B1168" t="s">
        <v>37</v>
      </c>
      <c r="C1168">
        <v>7.6</v>
      </c>
      <c r="D1168" t="s">
        <v>41</v>
      </c>
      <c r="E1168">
        <v>7.1</v>
      </c>
      <c r="F1168">
        <v>1.1000000000000001</v>
      </c>
      <c r="G1168">
        <v>2.0699999999999998</v>
      </c>
      <c r="H1168">
        <v>1.9</v>
      </c>
      <c r="I1168" t="s">
        <v>39</v>
      </c>
      <c r="J1168">
        <v>3</v>
      </c>
      <c r="K1168">
        <v>2</v>
      </c>
      <c r="L1168">
        <v>6</v>
      </c>
      <c r="M1168">
        <v>0</v>
      </c>
    </row>
    <row r="1169" spans="1:13" x14ac:dyDescent="0.25">
      <c r="A1169">
        <v>13</v>
      </c>
      <c r="B1169" t="s">
        <v>34</v>
      </c>
      <c r="C1169">
        <v>1.3</v>
      </c>
      <c r="D1169" t="s">
        <v>38</v>
      </c>
      <c r="E1169">
        <v>4.4000000000000004</v>
      </c>
      <c r="F1169">
        <v>0.9</v>
      </c>
      <c r="G1169">
        <v>2.99</v>
      </c>
      <c r="H1169">
        <v>0</v>
      </c>
      <c r="I1169" t="s">
        <v>39</v>
      </c>
      <c r="J1169">
        <v>8</v>
      </c>
      <c r="K1169">
        <v>2</v>
      </c>
      <c r="L1169">
        <v>5</v>
      </c>
      <c r="M1169">
        <v>0</v>
      </c>
    </row>
    <row r="1170" spans="1:13" x14ac:dyDescent="0.25">
      <c r="A1170">
        <v>16</v>
      </c>
      <c r="B1170" t="s">
        <v>34</v>
      </c>
      <c r="C1170">
        <v>7.3</v>
      </c>
      <c r="D1170" t="s">
        <v>38</v>
      </c>
      <c r="E1170">
        <v>7</v>
      </c>
      <c r="F1170">
        <v>2.2000000000000002</v>
      </c>
      <c r="G1170">
        <v>2.0699999999999998</v>
      </c>
      <c r="H1170">
        <v>1</v>
      </c>
      <c r="I1170" t="s">
        <v>40</v>
      </c>
      <c r="J1170">
        <v>3</v>
      </c>
      <c r="K1170">
        <v>7</v>
      </c>
      <c r="L1170">
        <v>1</v>
      </c>
      <c r="M1170">
        <v>0</v>
      </c>
    </row>
    <row r="1171" spans="1:13" x14ac:dyDescent="0.25">
      <c r="A1171">
        <v>18</v>
      </c>
      <c r="B1171" t="s">
        <v>34</v>
      </c>
      <c r="C1171">
        <v>4.3</v>
      </c>
      <c r="D1171" t="s">
        <v>35</v>
      </c>
      <c r="E1171">
        <v>6.7</v>
      </c>
      <c r="F1171">
        <v>2.5</v>
      </c>
      <c r="G1171">
        <v>3.19</v>
      </c>
      <c r="H1171">
        <v>1</v>
      </c>
      <c r="I1171" t="s">
        <v>39</v>
      </c>
      <c r="J1171">
        <v>5</v>
      </c>
      <c r="K1171">
        <v>5</v>
      </c>
      <c r="L1171">
        <v>5</v>
      </c>
      <c r="M1171">
        <v>0</v>
      </c>
    </row>
    <row r="1172" spans="1:13" x14ac:dyDescent="0.25">
      <c r="A1172">
        <v>16</v>
      </c>
      <c r="B1172" t="s">
        <v>34</v>
      </c>
      <c r="C1172">
        <v>7.1</v>
      </c>
      <c r="D1172" t="s">
        <v>38</v>
      </c>
      <c r="E1172">
        <v>7.7</v>
      </c>
      <c r="F1172">
        <v>1.9</v>
      </c>
      <c r="G1172">
        <v>2.2400000000000002</v>
      </c>
      <c r="H1172">
        <v>0.6</v>
      </c>
      <c r="I1172" t="s">
        <v>39</v>
      </c>
      <c r="J1172">
        <v>8</v>
      </c>
      <c r="K1172">
        <v>10</v>
      </c>
      <c r="L1172">
        <v>5</v>
      </c>
      <c r="M1172">
        <v>0</v>
      </c>
    </row>
    <row r="1173" spans="1:13" x14ac:dyDescent="0.25">
      <c r="A1173">
        <v>14</v>
      </c>
      <c r="B1173" t="s">
        <v>37</v>
      </c>
      <c r="C1173">
        <v>5.7</v>
      </c>
      <c r="D1173" t="s">
        <v>38</v>
      </c>
      <c r="E1173">
        <v>6.4</v>
      </c>
      <c r="F1173">
        <v>1.9</v>
      </c>
      <c r="G1173">
        <v>3.3</v>
      </c>
      <c r="H1173">
        <v>1.3</v>
      </c>
      <c r="I1173" t="s">
        <v>39</v>
      </c>
      <c r="J1173">
        <v>6</v>
      </c>
      <c r="K1173">
        <v>8</v>
      </c>
      <c r="L1173">
        <v>5</v>
      </c>
      <c r="M1173">
        <v>0</v>
      </c>
    </row>
    <row r="1174" spans="1:13" x14ac:dyDescent="0.25">
      <c r="A1174">
        <v>18</v>
      </c>
      <c r="B1174" t="s">
        <v>37</v>
      </c>
      <c r="C1174">
        <v>5.2</v>
      </c>
      <c r="D1174" t="s">
        <v>41</v>
      </c>
      <c r="E1174">
        <v>7.3</v>
      </c>
      <c r="F1174">
        <v>1.7</v>
      </c>
      <c r="G1174">
        <v>3.33</v>
      </c>
      <c r="H1174">
        <v>0.9</v>
      </c>
      <c r="I1174" t="s">
        <v>36</v>
      </c>
      <c r="J1174">
        <v>7</v>
      </c>
      <c r="K1174">
        <v>4</v>
      </c>
      <c r="L1174">
        <v>9</v>
      </c>
      <c r="M1174">
        <v>0</v>
      </c>
    </row>
    <row r="1175" spans="1:13" x14ac:dyDescent="0.25">
      <c r="A1175">
        <v>17</v>
      </c>
      <c r="B1175" t="s">
        <v>34</v>
      </c>
      <c r="C1175">
        <v>3.1</v>
      </c>
      <c r="D1175" t="s">
        <v>38</v>
      </c>
      <c r="E1175">
        <v>7.7</v>
      </c>
      <c r="F1175">
        <v>2.2000000000000002</v>
      </c>
      <c r="G1175">
        <v>3.72</v>
      </c>
      <c r="H1175">
        <v>1.4</v>
      </c>
      <c r="I1175" t="s">
        <v>40</v>
      </c>
      <c r="J1175">
        <v>1</v>
      </c>
      <c r="K1175">
        <v>5</v>
      </c>
      <c r="L1175">
        <v>8</v>
      </c>
      <c r="M1175">
        <v>0</v>
      </c>
    </row>
    <row r="1176" spans="1:13" x14ac:dyDescent="0.25">
      <c r="A1176">
        <v>13</v>
      </c>
      <c r="B1176" t="s">
        <v>34</v>
      </c>
      <c r="C1176">
        <v>3</v>
      </c>
      <c r="D1176" t="s">
        <v>41</v>
      </c>
      <c r="E1176">
        <v>6.2</v>
      </c>
      <c r="F1176">
        <v>0.8</v>
      </c>
      <c r="G1176">
        <v>3.96</v>
      </c>
      <c r="H1176">
        <v>1.1000000000000001</v>
      </c>
      <c r="I1176" t="s">
        <v>36</v>
      </c>
      <c r="J1176">
        <v>9</v>
      </c>
      <c r="K1176">
        <v>10</v>
      </c>
      <c r="L1176">
        <v>3</v>
      </c>
      <c r="M1176">
        <v>0</v>
      </c>
    </row>
    <row r="1177" spans="1:13" x14ac:dyDescent="0.25">
      <c r="A1177">
        <v>17</v>
      </c>
      <c r="B1177" t="s">
        <v>37</v>
      </c>
      <c r="C1177">
        <v>6</v>
      </c>
      <c r="D1177" t="s">
        <v>41</v>
      </c>
      <c r="E1177">
        <v>4.2</v>
      </c>
      <c r="F1177">
        <v>2.2000000000000002</v>
      </c>
      <c r="G1177">
        <v>2.27</v>
      </c>
      <c r="H1177">
        <v>0.5</v>
      </c>
      <c r="I1177" t="s">
        <v>40</v>
      </c>
      <c r="J1177">
        <v>1</v>
      </c>
      <c r="K1177">
        <v>4</v>
      </c>
      <c r="L1177">
        <v>5</v>
      </c>
      <c r="M1177">
        <v>0</v>
      </c>
    </row>
    <row r="1178" spans="1:13" x14ac:dyDescent="0.25">
      <c r="A1178">
        <v>13</v>
      </c>
      <c r="B1178" t="s">
        <v>34</v>
      </c>
      <c r="C1178">
        <v>5.9</v>
      </c>
      <c r="D1178" t="s">
        <v>35</v>
      </c>
      <c r="E1178">
        <v>8.6</v>
      </c>
      <c r="F1178">
        <v>1.9</v>
      </c>
      <c r="G1178">
        <v>3.88</v>
      </c>
      <c r="H1178">
        <v>0.2</v>
      </c>
      <c r="I1178" t="s">
        <v>40</v>
      </c>
      <c r="J1178">
        <v>1</v>
      </c>
      <c r="K1178">
        <v>6</v>
      </c>
      <c r="L1178">
        <v>9</v>
      </c>
      <c r="M1178">
        <v>0</v>
      </c>
    </row>
    <row r="1179" spans="1:13" x14ac:dyDescent="0.25">
      <c r="A1179">
        <v>15</v>
      </c>
      <c r="B1179" t="s">
        <v>34</v>
      </c>
      <c r="C1179">
        <v>5.0999999999999996</v>
      </c>
      <c r="D1179" t="s">
        <v>38</v>
      </c>
      <c r="E1179">
        <v>5.5</v>
      </c>
      <c r="F1179">
        <v>0.7</v>
      </c>
      <c r="G1179">
        <v>2.13</v>
      </c>
      <c r="H1179">
        <v>0.5</v>
      </c>
      <c r="I1179" t="s">
        <v>40</v>
      </c>
      <c r="J1179">
        <v>6</v>
      </c>
      <c r="K1179">
        <v>10</v>
      </c>
      <c r="L1179">
        <v>8</v>
      </c>
      <c r="M1179">
        <v>0</v>
      </c>
    </row>
    <row r="1180" spans="1:13" x14ac:dyDescent="0.25">
      <c r="A1180">
        <v>19</v>
      </c>
      <c r="B1180" t="s">
        <v>37</v>
      </c>
      <c r="C1180">
        <v>3.5</v>
      </c>
      <c r="D1180" t="s">
        <v>35</v>
      </c>
      <c r="E1180">
        <v>4.9000000000000004</v>
      </c>
      <c r="F1180">
        <v>0.5</v>
      </c>
      <c r="G1180">
        <v>3.68</v>
      </c>
      <c r="H1180">
        <v>1.7</v>
      </c>
      <c r="I1180" t="s">
        <v>39</v>
      </c>
      <c r="J1180">
        <v>8</v>
      </c>
      <c r="K1180">
        <v>4</v>
      </c>
      <c r="L1180">
        <v>3</v>
      </c>
      <c r="M1180">
        <v>0</v>
      </c>
    </row>
    <row r="1181" spans="1:13" x14ac:dyDescent="0.25">
      <c r="A1181">
        <v>16</v>
      </c>
      <c r="B1181" t="s">
        <v>34</v>
      </c>
      <c r="C1181">
        <v>5.3</v>
      </c>
      <c r="D1181" t="s">
        <v>38</v>
      </c>
      <c r="E1181">
        <v>5.3</v>
      </c>
      <c r="F1181">
        <v>2.4</v>
      </c>
      <c r="G1181">
        <v>3.01</v>
      </c>
      <c r="H1181">
        <v>1.6</v>
      </c>
      <c r="I1181" t="s">
        <v>40</v>
      </c>
      <c r="J1181">
        <v>2</v>
      </c>
      <c r="K1181">
        <v>9</v>
      </c>
      <c r="L1181">
        <v>1</v>
      </c>
      <c r="M1181">
        <v>0</v>
      </c>
    </row>
    <row r="1182" spans="1:13" x14ac:dyDescent="0.25">
      <c r="A1182">
        <v>13</v>
      </c>
      <c r="B1182" t="s">
        <v>37</v>
      </c>
      <c r="C1182">
        <v>4.0999999999999996</v>
      </c>
      <c r="D1182" t="s">
        <v>35</v>
      </c>
      <c r="E1182">
        <v>7.5</v>
      </c>
      <c r="F1182">
        <v>1.7</v>
      </c>
      <c r="G1182">
        <v>3.12</v>
      </c>
      <c r="H1182">
        <v>2</v>
      </c>
      <c r="I1182" t="s">
        <v>40</v>
      </c>
      <c r="J1182">
        <v>1</v>
      </c>
      <c r="K1182">
        <v>4</v>
      </c>
      <c r="L1182">
        <v>9</v>
      </c>
      <c r="M1182">
        <v>0</v>
      </c>
    </row>
    <row r="1183" spans="1:13" x14ac:dyDescent="0.25">
      <c r="A1183">
        <v>18</v>
      </c>
      <c r="B1183" t="s">
        <v>34</v>
      </c>
      <c r="C1183">
        <v>4.0999999999999996</v>
      </c>
      <c r="D1183" t="s">
        <v>35</v>
      </c>
      <c r="E1183">
        <v>6.7</v>
      </c>
      <c r="F1183">
        <v>2.1</v>
      </c>
      <c r="G1183">
        <v>2.5</v>
      </c>
      <c r="H1183">
        <v>0.1</v>
      </c>
      <c r="I1183" t="s">
        <v>40</v>
      </c>
      <c r="J1183">
        <v>8</v>
      </c>
      <c r="K1183">
        <v>1</v>
      </c>
      <c r="L1183">
        <v>5</v>
      </c>
      <c r="M1183">
        <v>0</v>
      </c>
    </row>
    <row r="1184" spans="1:13" x14ac:dyDescent="0.25">
      <c r="A1184">
        <v>15</v>
      </c>
      <c r="B1184" t="s">
        <v>34</v>
      </c>
      <c r="C1184">
        <v>6.3</v>
      </c>
      <c r="D1184" t="s">
        <v>38</v>
      </c>
      <c r="E1184">
        <v>6.8</v>
      </c>
      <c r="F1184">
        <v>1.8</v>
      </c>
      <c r="G1184">
        <v>2.59</v>
      </c>
      <c r="H1184">
        <v>1.9</v>
      </c>
      <c r="I1184" t="s">
        <v>39</v>
      </c>
      <c r="J1184">
        <v>10</v>
      </c>
      <c r="K1184">
        <v>5</v>
      </c>
      <c r="L1184">
        <v>5</v>
      </c>
      <c r="M1184">
        <v>0</v>
      </c>
    </row>
    <row r="1185" spans="1:13" x14ac:dyDescent="0.25">
      <c r="A1185">
        <v>19</v>
      </c>
      <c r="B1185" t="s">
        <v>37</v>
      </c>
      <c r="C1185">
        <v>6.6</v>
      </c>
      <c r="D1185" t="s">
        <v>41</v>
      </c>
      <c r="E1185">
        <v>9</v>
      </c>
      <c r="F1185">
        <v>2.9</v>
      </c>
      <c r="G1185">
        <v>2.4700000000000002</v>
      </c>
      <c r="H1185">
        <v>1.7</v>
      </c>
      <c r="I1185" t="s">
        <v>40</v>
      </c>
      <c r="J1185">
        <v>3</v>
      </c>
      <c r="K1185">
        <v>7</v>
      </c>
      <c r="L1185">
        <v>9</v>
      </c>
      <c r="M1185">
        <v>0</v>
      </c>
    </row>
    <row r="1186" spans="1:13" x14ac:dyDescent="0.25">
      <c r="A1186">
        <v>19</v>
      </c>
      <c r="B1186" t="s">
        <v>34</v>
      </c>
      <c r="C1186">
        <v>1.4</v>
      </c>
      <c r="D1186" t="s">
        <v>41</v>
      </c>
      <c r="E1186">
        <v>4.5</v>
      </c>
      <c r="F1186">
        <v>2.2999999999999998</v>
      </c>
      <c r="G1186">
        <v>3.9</v>
      </c>
      <c r="H1186">
        <v>0</v>
      </c>
      <c r="I1186" t="s">
        <v>40</v>
      </c>
      <c r="J1186">
        <v>2</v>
      </c>
      <c r="K1186">
        <v>8</v>
      </c>
      <c r="L1186">
        <v>10</v>
      </c>
      <c r="M1186">
        <v>0</v>
      </c>
    </row>
    <row r="1187" spans="1:13" x14ac:dyDescent="0.25">
      <c r="A1187">
        <v>19</v>
      </c>
      <c r="B1187" t="s">
        <v>34</v>
      </c>
      <c r="C1187">
        <v>2.4</v>
      </c>
      <c r="D1187" t="s">
        <v>38</v>
      </c>
      <c r="E1187">
        <v>9</v>
      </c>
      <c r="F1187">
        <v>2.4</v>
      </c>
      <c r="G1187">
        <v>3.13</v>
      </c>
      <c r="H1187">
        <v>0.5</v>
      </c>
      <c r="I1187" t="s">
        <v>39</v>
      </c>
      <c r="J1187">
        <v>5</v>
      </c>
      <c r="K1187">
        <v>3</v>
      </c>
      <c r="L1187">
        <v>3</v>
      </c>
      <c r="M1187">
        <v>0</v>
      </c>
    </row>
    <row r="1188" spans="1:13" x14ac:dyDescent="0.25">
      <c r="A1188">
        <v>18</v>
      </c>
      <c r="B1188" t="s">
        <v>34</v>
      </c>
      <c r="C1188">
        <v>1.6</v>
      </c>
      <c r="D1188" t="s">
        <v>41</v>
      </c>
      <c r="E1188">
        <v>5.4</v>
      </c>
      <c r="F1188">
        <v>2</v>
      </c>
      <c r="G1188">
        <v>3.2</v>
      </c>
      <c r="H1188">
        <v>1.8</v>
      </c>
      <c r="I1188" t="s">
        <v>36</v>
      </c>
      <c r="J1188">
        <v>8</v>
      </c>
      <c r="K1188">
        <v>8</v>
      </c>
      <c r="L1188">
        <v>3</v>
      </c>
      <c r="M1188">
        <v>0</v>
      </c>
    </row>
    <row r="1189" spans="1:13" x14ac:dyDescent="0.25">
      <c r="A1189">
        <v>18</v>
      </c>
      <c r="B1189" t="s">
        <v>34</v>
      </c>
      <c r="C1189">
        <v>2</v>
      </c>
      <c r="D1189" t="s">
        <v>35</v>
      </c>
      <c r="E1189">
        <v>8.9</v>
      </c>
      <c r="F1189">
        <v>0.8</v>
      </c>
      <c r="G1189">
        <v>2.96</v>
      </c>
      <c r="H1189">
        <v>0.5</v>
      </c>
      <c r="I1189" t="s">
        <v>40</v>
      </c>
      <c r="J1189">
        <v>6</v>
      </c>
      <c r="K1189">
        <v>2</v>
      </c>
      <c r="L1189">
        <v>2</v>
      </c>
      <c r="M1189">
        <v>0</v>
      </c>
    </row>
    <row r="1190" spans="1:13" x14ac:dyDescent="0.25">
      <c r="A1190">
        <v>17</v>
      </c>
      <c r="B1190" t="s">
        <v>37</v>
      </c>
      <c r="C1190">
        <v>7.4</v>
      </c>
      <c r="D1190" t="s">
        <v>35</v>
      </c>
      <c r="E1190">
        <v>7.4</v>
      </c>
      <c r="F1190">
        <v>2</v>
      </c>
      <c r="G1190">
        <v>3.76</v>
      </c>
      <c r="H1190">
        <v>1.7</v>
      </c>
      <c r="I1190" t="s">
        <v>39</v>
      </c>
      <c r="J1190">
        <v>10</v>
      </c>
      <c r="K1190">
        <v>1</v>
      </c>
      <c r="L1190">
        <v>4</v>
      </c>
      <c r="M1190">
        <v>0</v>
      </c>
    </row>
    <row r="1191" spans="1:13" x14ac:dyDescent="0.25">
      <c r="A1191">
        <v>14</v>
      </c>
      <c r="B1191" t="s">
        <v>37</v>
      </c>
      <c r="C1191">
        <v>1.6</v>
      </c>
      <c r="D1191" t="s">
        <v>38</v>
      </c>
      <c r="E1191">
        <v>4.8</v>
      </c>
      <c r="F1191">
        <v>2.4</v>
      </c>
      <c r="G1191">
        <v>2.97</v>
      </c>
      <c r="H1191">
        <v>1.9</v>
      </c>
      <c r="I1191" t="s">
        <v>36</v>
      </c>
      <c r="J1191">
        <v>9</v>
      </c>
      <c r="K1191">
        <v>9</v>
      </c>
      <c r="L1191">
        <v>10</v>
      </c>
      <c r="M1191">
        <v>0</v>
      </c>
    </row>
    <row r="1192" spans="1:13" x14ac:dyDescent="0.25">
      <c r="A1192">
        <v>17</v>
      </c>
      <c r="B1192" t="s">
        <v>37</v>
      </c>
      <c r="C1192">
        <v>3.8</v>
      </c>
      <c r="D1192" t="s">
        <v>35</v>
      </c>
      <c r="E1192">
        <v>8.4</v>
      </c>
      <c r="F1192">
        <v>0.9</v>
      </c>
      <c r="G1192">
        <v>3.6</v>
      </c>
      <c r="H1192">
        <v>1.9</v>
      </c>
      <c r="I1192" t="s">
        <v>39</v>
      </c>
      <c r="J1192">
        <v>1</v>
      </c>
      <c r="K1192">
        <v>2</v>
      </c>
      <c r="L1192">
        <v>2</v>
      </c>
      <c r="M1192">
        <v>0</v>
      </c>
    </row>
    <row r="1193" spans="1:13" x14ac:dyDescent="0.25">
      <c r="A1193">
        <v>19</v>
      </c>
      <c r="B1193" t="s">
        <v>34</v>
      </c>
      <c r="C1193">
        <v>8</v>
      </c>
      <c r="D1193" t="s">
        <v>38</v>
      </c>
      <c r="E1193">
        <v>4.7</v>
      </c>
      <c r="F1193">
        <v>0.5</v>
      </c>
      <c r="G1193">
        <v>2.1800000000000002</v>
      </c>
      <c r="H1193">
        <v>0.6</v>
      </c>
      <c r="I1193" t="s">
        <v>40</v>
      </c>
      <c r="J1193">
        <v>8</v>
      </c>
      <c r="K1193">
        <v>8</v>
      </c>
      <c r="L1193">
        <v>6</v>
      </c>
      <c r="M1193">
        <v>1</v>
      </c>
    </row>
    <row r="1194" spans="1:13" x14ac:dyDescent="0.25">
      <c r="A1194">
        <v>13</v>
      </c>
      <c r="B1194" t="s">
        <v>34</v>
      </c>
      <c r="C1194">
        <v>7.8</v>
      </c>
      <c r="D1194" t="s">
        <v>38</v>
      </c>
      <c r="E1194">
        <v>5.9</v>
      </c>
      <c r="F1194">
        <v>1.5</v>
      </c>
      <c r="G1194">
        <v>3.31</v>
      </c>
      <c r="H1194">
        <v>1.9</v>
      </c>
      <c r="I1194" t="s">
        <v>39</v>
      </c>
      <c r="J1194">
        <v>10</v>
      </c>
      <c r="K1194">
        <v>1</v>
      </c>
      <c r="L1194">
        <v>10</v>
      </c>
      <c r="M1194">
        <v>0</v>
      </c>
    </row>
    <row r="1195" spans="1:13" x14ac:dyDescent="0.25">
      <c r="A1195">
        <v>13</v>
      </c>
      <c r="B1195" t="s">
        <v>37</v>
      </c>
      <c r="C1195">
        <v>7.2</v>
      </c>
      <c r="D1195" t="s">
        <v>35</v>
      </c>
      <c r="E1195">
        <v>8.1</v>
      </c>
      <c r="F1195">
        <v>2.1</v>
      </c>
      <c r="G1195">
        <v>2.52</v>
      </c>
      <c r="H1195">
        <v>0.4</v>
      </c>
      <c r="I1195" t="s">
        <v>40</v>
      </c>
      <c r="J1195">
        <v>3</v>
      </c>
      <c r="K1195">
        <v>3</v>
      </c>
      <c r="L1195">
        <v>7</v>
      </c>
      <c r="M1195">
        <v>0</v>
      </c>
    </row>
    <row r="1196" spans="1:13" x14ac:dyDescent="0.25">
      <c r="A1196">
        <v>17</v>
      </c>
      <c r="B1196" t="s">
        <v>34</v>
      </c>
      <c r="C1196">
        <v>2</v>
      </c>
      <c r="D1196" t="s">
        <v>41</v>
      </c>
      <c r="E1196">
        <v>4.5</v>
      </c>
      <c r="F1196">
        <v>1.7</v>
      </c>
      <c r="G1196">
        <v>2.65</v>
      </c>
      <c r="H1196">
        <v>0</v>
      </c>
      <c r="I1196" t="s">
        <v>40</v>
      </c>
      <c r="J1196">
        <v>9</v>
      </c>
      <c r="K1196">
        <v>4</v>
      </c>
      <c r="L1196">
        <v>2</v>
      </c>
      <c r="M1196">
        <v>0</v>
      </c>
    </row>
    <row r="1197" spans="1:13" x14ac:dyDescent="0.25">
      <c r="A1197">
        <v>18</v>
      </c>
      <c r="B1197" t="s">
        <v>37</v>
      </c>
      <c r="C1197">
        <v>6.8</v>
      </c>
      <c r="D1197" t="s">
        <v>35</v>
      </c>
      <c r="E1197">
        <v>6.6</v>
      </c>
      <c r="F1197">
        <v>2</v>
      </c>
      <c r="G1197">
        <v>2.76</v>
      </c>
      <c r="H1197">
        <v>1</v>
      </c>
      <c r="I1197" t="s">
        <v>36</v>
      </c>
      <c r="J1197">
        <v>3</v>
      </c>
      <c r="K1197">
        <v>4</v>
      </c>
      <c r="L1197">
        <v>4</v>
      </c>
      <c r="M1197">
        <v>0</v>
      </c>
    </row>
    <row r="1198" spans="1:13" x14ac:dyDescent="0.25">
      <c r="A1198">
        <v>16</v>
      </c>
      <c r="B1198" t="s">
        <v>34</v>
      </c>
      <c r="C1198">
        <v>2.2999999999999998</v>
      </c>
      <c r="D1198" t="s">
        <v>41</v>
      </c>
      <c r="E1198">
        <v>8</v>
      </c>
      <c r="F1198">
        <v>1.9</v>
      </c>
      <c r="G1198">
        <v>2.12</v>
      </c>
      <c r="H1198">
        <v>0.4</v>
      </c>
      <c r="I1198" t="s">
        <v>39</v>
      </c>
      <c r="J1198">
        <v>7</v>
      </c>
      <c r="K1198">
        <v>4</v>
      </c>
      <c r="L1198">
        <v>4</v>
      </c>
      <c r="M1198">
        <v>0</v>
      </c>
    </row>
    <row r="1199" spans="1:13" x14ac:dyDescent="0.25">
      <c r="A1199">
        <v>14</v>
      </c>
      <c r="B1199" t="s">
        <v>37</v>
      </c>
      <c r="C1199">
        <v>1.7</v>
      </c>
      <c r="D1199" t="s">
        <v>41</v>
      </c>
      <c r="E1199">
        <v>8.6999999999999993</v>
      </c>
      <c r="F1199">
        <v>0.7</v>
      </c>
      <c r="G1199">
        <v>3.98</v>
      </c>
      <c r="H1199">
        <v>0.8</v>
      </c>
      <c r="I1199" t="s">
        <v>39</v>
      </c>
      <c r="J1199">
        <v>1</v>
      </c>
      <c r="K1199">
        <v>1</v>
      </c>
      <c r="L1199">
        <v>1</v>
      </c>
      <c r="M1199">
        <v>0</v>
      </c>
    </row>
    <row r="1200" spans="1:13" x14ac:dyDescent="0.25">
      <c r="A1200">
        <v>15</v>
      </c>
      <c r="B1200" t="s">
        <v>34</v>
      </c>
      <c r="C1200">
        <v>3.9</v>
      </c>
      <c r="D1200" t="s">
        <v>41</v>
      </c>
      <c r="E1200">
        <v>8.5</v>
      </c>
      <c r="F1200">
        <v>2.1</v>
      </c>
      <c r="G1200">
        <v>3.19</v>
      </c>
      <c r="H1200">
        <v>0.6</v>
      </c>
      <c r="I1200" t="s">
        <v>39</v>
      </c>
      <c r="J1200">
        <v>7</v>
      </c>
      <c r="K1200">
        <v>9</v>
      </c>
      <c r="L1200">
        <v>9</v>
      </c>
      <c r="M1200">
        <v>0</v>
      </c>
    </row>
    <row r="1201" spans="1:13" x14ac:dyDescent="0.25">
      <c r="A1201">
        <v>16</v>
      </c>
      <c r="B1201" t="s">
        <v>37</v>
      </c>
      <c r="C1201">
        <v>4.7</v>
      </c>
      <c r="D1201" t="s">
        <v>38</v>
      </c>
      <c r="E1201">
        <v>6.5</v>
      </c>
      <c r="F1201">
        <v>1</v>
      </c>
      <c r="G1201">
        <v>2.91</v>
      </c>
      <c r="H1201">
        <v>0.9</v>
      </c>
      <c r="I1201" t="s">
        <v>40</v>
      </c>
      <c r="J1201">
        <v>5</v>
      </c>
      <c r="K1201">
        <v>7</v>
      </c>
      <c r="L1201">
        <v>3</v>
      </c>
      <c r="M12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01918-E9A8-4F14-AB24-36463EF4468B}">
  <dimension ref="A1:M1201"/>
  <sheetViews>
    <sheetView zoomScale="90" zoomScaleNormal="90" workbookViewId="0">
      <pane ySplit="1" topLeftCell="A4" activePane="bottomLeft" state="frozen"/>
      <selection pane="bottomLeft" activeCell="C21" sqref="C21"/>
    </sheetView>
  </sheetViews>
  <sheetFormatPr defaultRowHeight="15" x14ac:dyDescent="0.25"/>
  <cols>
    <col min="1" max="1" width="6.42578125" bestFit="1" customWidth="1"/>
    <col min="2" max="2" width="9.28515625" bestFit="1" customWidth="1"/>
    <col min="3" max="3" width="24.85546875" customWidth="1"/>
    <col min="4" max="4" width="17.140625" bestFit="1" customWidth="1"/>
    <col min="5" max="5" width="13.85546875" customWidth="1"/>
    <col min="6" max="6" width="26.28515625" hidden="1" customWidth="1"/>
    <col min="7" max="7" width="23" customWidth="1"/>
    <col min="8" max="8" width="17.140625" customWidth="1"/>
    <col min="9" max="9" width="24.42578125" bestFit="1" customWidth="1"/>
    <col min="10" max="10" width="13.7109375" customWidth="1"/>
    <col min="11" max="11" width="14.5703125" customWidth="1"/>
    <col min="12" max="12" width="16.28515625" customWidth="1"/>
    <col min="13" max="13" width="18.140625" customWidth="1"/>
  </cols>
  <sheetData>
    <row r="1" spans="1:13" s="2" customFormat="1" x14ac:dyDescent="0.25">
      <c r="A1" s="9" t="s">
        <v>21</v>
      </c>
      <c r="B1" s="10" t="s">
        <v>22</v>
      </c>
      <c r="C1" s="10" t="s">
        <v>23</v>
      </c>
      <c r="D1" s="10" t="s">
        <v>24</v>
      </c>
      <c r="E1" s="10" t="s">
        <v>25</v>
      </c>
      <c r="F1" s="10" t="s">
        <v>26</v>
      </c>
      <c r="G1" s="10" t="s">
        <v>27</v>
      </c>
      <c r="H1" s="10" t="s">
        <v>28</v>
      </c>
      <c r="I1" s="10" t="s">
        <v>29</v>
      </c>
      <c r="J1" s="10" t="s">
        <v>30</v>
      </c>
      <c r="K1" s="10" t="s">
        <v>31</v>
      </c>
      <c r="L1" s="10" t="s">
        <v>32</v>
      </c>
      <c r="M1" s="11" t="s">
        <v>33</v>
      </c>
    </row>
    <row r="2" spans="1:13" hidden="1" x14ac:dyDescent="0.25">
      <c r="A2" s="7">
        <v>14</v>
      </c>
      <c r="B2" s="1" t="s">
        <v>34</v>
      </c>
      <c r="C2" s="1">
        <v>7.9</v>
      </c>
      <c r="D2" s="1" t="s">
        <v>35</v>
      </c>
      <c r="E2" s="1">
        <v>7.4</v>
      </c>
      <c r="F2" s="1">
        <v>2.9</v>
      </c>
      <c r="G2" s="1">
        <v>3.01</v>
      </c>
      <c r="H2" s="1">
        <v>1.5</v>
      </c>
      <c r="I2" s="1" t="s">
        <v>36</v>
      </c>
      <c r="J2" s="1">
        <v>2</v>
      </c>
      <c r="K2" s="1">
        <v>2</v>
      </c>
      <c r="L2" s="1">
        <v>1</v>
      </c>
      <c r="M2" s="8">
        <v>0</v>
      </c>
    </row>
    <row r="3" spans="1:13" hidden="1" x14ac:dyDescent="0.25">
      <c r="A3" s="7">
        <v>19</v>
      </c>
      <c r="B3" s="1" t="s">
        <v>37</v>
      </c>
      <c r="C3" s="1">
        <v>1.9</v>
      </c>
      <c r="D3" s="1" t="s">
        <v>38</v>
      </c>
      <c r="E3" s="1">
        <v>8</v>
      </c>
      <c r="F3" s="1">
        <v>2.9</v>
      </c>
      <c r="G3" s="1">
        <v>3.22</v>
      </c>
      <c r="H3" s="1">
        <v>0.8</v>
      </c>
      <c r="I3" s="1" t="s">
        <v>39</v>
      </c>
      <c r="J3" s="1">
        <v>8</v>
      </c>
      <c r="K3" s="1">
        <v>1</v>
      </c>
      <c r="L3" s="1">
        <v>10</v>
      </c>
      <c r="M3" s="8">
        <v>0</v>
      </c>
    </row>
    <row r="4" spans="1:13" x14ac:dyDescent="0.25">
      <c r="A4" s="7">
        <v>17</v>
      </c>
      <c r="B4" s="1" t="s">
        <v>37</v>
      </c>
      <c r="C4" s="1">
        <v>1.3</v>
      </c>
      <c r="D4" s="1" t="s">
        <v>35</v>
      </c>
      <c r="E4" s="1">
        <v>7.6</v>
      </c>
      <c r="F4" s="1">
        <v>0.5</v>
      </c>
      <c r="G4" s="1">
        <v>3.92</v>
      </c>
      <c r="H4" s="1">
        <v>0</v>
      </c>
      <c r="I4" s="1" t="s">
        <v>39</v>
      </c>
      <c r="J4" s="1">
        <v>2</v>
      </c>
      <c r="K4" s="1">
        <v>4</v>
      </c>
      <c r="L4" s="1">
        <v>2</v>
      </c>
      <c r="M4" s="8">
        <v>0</v>
      </c>
    </row>
    <row r="5" spans="1:13" hidden="1" x14ac:dyDescent="0.25">
      <c r="A5" s="7">
        <v>15</v>
      </c>
      <c r="B5" s="1" t="s">
        <v>34</v>
      </c>
      <c r="C5" s="1">
        <v>7.4</v>
      </c>
      <c r="D5" s="1" t="s">
        <v>38</v>
      </c>
      <c r="E5" s="1">
        <v>6.9</v>
      </c>
      <c r="F5" s="1">
        <v>1.6</v>
      </c>
      <c r="G5" s="1">
        <v>3.48</v>
      </c>
      <c r="H5" s="1">
        <v>0.8</v>
      </c>
      <c r="I5" s="1" t="s">
        <v>40</v>
      </c>
      <c r="J5" s="1">
        <v>1</v>
      </c>
      <c r="K5" s="1">
        <v>7</v>
      </c>
      <c r="L5" s="1">
        <v>9</v>
      </c>
      <c r="M5" s="8">
        <v>0</v>
      </c>
    </row>
    <row r="6" spans="1:13" hidden="1" x14ac:dyDescent="0.25">
      <c r="A6" s="7">
        <v>15</v>
      </c>
      <c r="B6" s="1" t="s">
        <v>37</v>
      </c>
      <c r="C6" s="1">
        <v>4.7</v>
      </c>
      <c r="D6" s="1" t="s">
        <v>41</v>
      </c>
      <c r="E6" s="1">
        <v>4.9000000000000004</v>
      </c>
      <c r="F6" s="1">
        <v>3</v>
      </c>
      <c r="G6" s="1">
        <v>2.37</v>
      </c>
      <c r="H6" s="1">
        <v>1.4</v>
      </c>
      <c r="I6" s="1" t="s">
        <v>40</v>
      </c>
      <c r="J6" s="1">
        <v>3</v>
      </c>
      <c r="K6" s="1">
        <v>5</v>
      </c>
      <c r="L6" s="1">
        <v>2</v>
      </c>
      <c r="M6" s="8">
        <v>0</v>
      </c>
    </row>
    <row r="7" spans="1:13" hidden="1" x14ac:dyDescent="0.25">
      <c r="A7" s="7">
        <v>19</v>
      </c>
      <c r="B7" s="1" t="s">
        <v>37</v>
      </c>
      <c r="C7" s="1">
        <v>7.4</v>
      </c>
      <c r="D7" s="1" t="s">
        <v>41</v>
      </c>
      <c r="E7" s="1">
        <v>4.4000000000000004</v>
      </c>
      <c r="F7" s="1">
        <v>2.4</v>
      </c>
      <c r="G7" s="1">
        <v>2.63</v>
      </c>
      <c r="H7" s="1">
        <v>0.6</v>
      </c>
      <c r="I7" s="1" t="s">
        <v>39</v>
      </c>
      <c r="J7" s="1">
        <v>3</v>
      </c>
      <c r="K7" s="1">
        <v>5</v>
      </c>
      <c r="L7" s="1">
        <v>7</v>
      </c>
      <c r="M7" s="8">
        <v>0</v>
      </c>
    </row>
    <row r="8" spans="1:13" x14ac:dyDescent="0.25">
      <c r="A8" s="7">
        <v>18</v>
      </c>
      <c r="B8" s="1" t="s">
        <v>37</v>
      </c>
      <c r="C8" s="1">
        <v>2.5</v>
      </c>
      <c r="D8" s="1" t="s">
        <v>35</v>
      </c>
      <c r="E8" s="1">
        <v>6.4</v>
      </c>
      <c r="F8" s="1">
        <v>2.4</v>
      </c>
      <c r="G8" s="1">
        <v>2.63</v>
      </c>
      <c r="H8" s="1">
        <v>0.7</v>
      </c>
      <c r="I8" s="1" t="s">
        <v>36</v>
      </c>
      <c r="J8" s="1">
        <v>2</v>
      </c>
      <c r="K8" s="1">
        <v>2</v>
      </c>
      <c r="L8" s="1">
        <v>5</v>
      </c>
      <c r="M8" s="8">
        <v>0</v>
      </c>
    </row>
    <row r="9" spans="1:13" hidden="1" x14ac:dyDescent="0.25">
      <c r="A9" s="7">
        <v>16</v>
      </c>
      <c r="B9" s="1" t="s">
        <v>34</v>
      </c>
      <c r="C9" s="1">
        <v>4</v>
      </c>
      <c r="D9" s="1" t="s">
        <v>41</v>
      </c>
      <c r="E9" s="1">
        <v>4.2</v>
      </c>
      <c r="F9" s="1">
        <v>0.5</v>
      </c>
      <c r="G9" s="1">
        <v>2.4</v>
      </c>
      <c r="H9" s="1">
        <v>1.3</v>
      </c>
      <c r="I9" s="1" t="s">
        <v>36</v>
      </c>
      <c r="J9" s="1">
        <v>6</v>
      </c>
      <c r="K9" s="1">
        <v>10</v>
      </c>
      <c r="L9" s="1">
        <v>5</v>
      </c>
      <c r="M9" s="8">
        <v>0</v>
      </c>
    </row>
    <row r="10" spans="1:13" hidden="1" x14ac:dyDescent="0.25">
      <c r="A10" s="7">
        <v>19</v>
      </c>
      <c r="B10" s="1" t="s">
        <v>37</v>
      </c>
      <c r="C10" s="1">
        <v>3.3</v>
      </c>
      <c r="D10" s="1" t="s">
        <v>38</v>
      </c>
      <c r="E10" s="1">
        <v>5</v>
      </c>
      <c r="F10" s="1">
        <v>2.1</v>
      </c>
      <c r="G10" s="1">
        <v>2.04</v>
      </c>
      <c r="H10" s="1">
        <v>0.9</v>
      </c>
      <c r="I10" s="1" t="s">
        <v>39</v>
      </c>
      <c r="J10" s="1">
        <v>1</v>
      </c>
      <c r="K10" s="1">
        <v>10</v>
      </c>
      <c r="L10" s="1">
        <v>9</v>
      </c>
      <c r="M10" s="8">
        <v>0</v>
      </c>
    </row>
    <row r="11" spans="1:13" hidden="1" x14ac:dyDescent="0.25">
      <c r="A11" s="7">
        <v>15</v>
      </c>
      <c r="B11" s="1" t="s">
        <v>34</v>
      </c>
      <c r="C11" s="1">
        <v>1.9</v>
      </c>
      <c r="D11" s="1" t="s">
        <v>38</v>
      </c>
      <c r="E11" s="1">
        <v>4.9000000000000004</v>
      </c>
      <c r="F11" s="1">
        <v>1.5</v>
      </c>
      <c r="G11" s="1">
        <v>3.77</v>
      </c>
      <c r="H11" s="1">
        <v>1.1000000000000001</v>
      </c>
      <c r="I11" s="1" t="s">
        <v>39</v>
      </c>
      <c r="J11" s="1">
        <v>1</v>
      </c>
      <c r="K11" s="1">
        <v>1</v>
      </c>
      <c r="L11" s="1">
        <v>4</v>
      </c>
      <c r="M11" s="8">
        <v>0</v>
      </c>
    </row>
    <row r="12" spans="1:13" hidden="1" x14ac:dyDescent="0.25">
      <c r="A12" s="7">
        <v>16</v>
      </c>
      <c r="B12" s="1" t="s">
        <v>34</v>
      </c>
      <c r="C12" s="1">
        <v>7.2</v>
      </c>
      <c r="D12" s="1" t="s">
        <v>41</v>
      </c>
      <c r="E12" s="1">
        <v>5.8</v>
      </c>
      <c r="F12" s="1">
        <v>2.9</v>
      </c>
      <c r="G12" s="1">
        <v>3.16</v>
      </c>
      <c r="H12" s="1">
        <v>1.2</v>
      </c>
      <c r="I12" s="1" t="s">
        <v>40</v>
      </c>
      <c r="J12" s="1">
        <v>5</v>
      </c>
      <c r="K12" s="1">
        <v>8</v>
      </c>
      <c r="L12" s="1">
        <v>9</v>
      </c>
      <c r="M12" s="8">
        <v>0</v>
      </c>
    </row>
    <row r="13" spans="1:13" hidden="1" x14ac:dyDescent="0.25">
      <c r="A13" s="7">
        <v>13</v>
      </c>
      <c r="B13" s="1" t="s">
        <v>34</v>
      </c>
      <c r="C13" s="1">
        <v>4.9000000000000004</v>
      </c>
      <c r="D13" s="1" t="s">
        <v>35</v>
      </c>
      <c r="E13" s="1">
        <v>4.7</v>
      </c>
      <c r="F13" s="1">
        <v>2.5</v>
      </c>
      <c r="G13" s="1">
        <v>3.92</v>
      </c>
      <c r="H13" s="1">
        <v>1.2</v>
      </c>
      <c r="I13" s="1" t="s">
        <v>36</v>
      </c>
      <c r="J13" s="1">
        <v>1</v>
      </c>
      <c r="K13" s="1">
        <v>10</v>
      </c>
      <c r="L13" s="1">
        <v>8</v>
      </c>
      <c r="M13" s="8">
        <v>0</v>
      </c>
    </row>
    <row r="14" spans="1:13" hidden="1" x14ac:dyDescent="0.25">
      <c r="A14" s="7">
        <v>16</v>
      </c>
      <c r="B14" s="1" t="s">
        <v>34</v>
      </c>
      <c r="C14" s="1">
        <v>6.2</v>
      </c>
      <c r="D14" s="1" t="s">
        <v>41</v>
      </c>
      <c r="E14" s="1">
        <v>7.2</v>
      </c>
      <c r="F14" s="1">
        <v>2.6</v>
      </c>
      <c r="G14" s="1">
        <v>2.02</v>
      </c>
      <c r="H14" s="1">
        <v>1.7</v>
      </c>
      <c r="I14" s="1" t="s">
        <v>40</v>
      </c>
      <c r="J14" s="1">
        <v>5</v>
      </c>
      <c r="K14" s="1">
        <v>7</v>
      </c>
      <c r="L14" s="1">
        <v>6</v>
      </c>
      <c r="M14" s="8">
        <v>0</v>
      </c>
    </row>
    <row r="15" spans="1:13" hidden="1" x14ac:dyDescent="0.25">
      <c r="A15" s="7">
        <v>17</v>
      </c>
      <c r="B15" s="1" t="s">
        <v>37</v>
      </c>
      <c r="C15" s="1">
        <v>6.8</v>
      </c>
      <c r="D15" s="1" t="s">
        <v>38</v>
      </c>
      <c r="E15" s="1">
        <v>5.7</v>
      </c>
      <c r="F15" s="1">
        <v>1.1000000000000001</v>
      </c>
      <c r="G15" s="1">
        <v>3.29</v>
      </c>
      <c r="H15" s="1">
        <v>1.3</v>
      </c>
      <c r="I15" s="1" t="s">
        <v>40</v>
      </c>
      <c r="J15" s="1">
        <v>1</v>
      </c>
      <c r="K15" s="1">
        <v>10</v>
      </c>
      <c r="L15" s="1">
        <v>10</v>
      </c>
      <c r="M15" s="8">
        <v>0</v>
      </c>
    </row>
    <row r="16" spans="1:13" hidden="1" x14ac:dyDescent="0.25">
      <c r="A16" s="7">
        <v>15</v>
      </c>
      <c r="B16" s="1" t="s">
        <v>34</v>
      </c>
      <c r="C16" s="1">
        <v>5.7</v>
      </c>
      <c r="D16" s="1" t="s">
        <v>38</v>
      </c>
      <c r="E16" s="1">
        <v>5.9</v>
      </c>
      <c r="F16" s="1">
        <v>0.8</v>
      </c>
      <c r="G16" s="1">
        <v>3.5</v>
      </c>
      <c r="H16" s="1">
        <v>0.7</v>
      </c>
      <c r="I16" s="1" t="s">
        <v>36</v>
      </c>
      <c r="J16" s="1">
        <v>1</v>
      </c>
      <c r="K16" s="1">
        <v>9</v>
      </c>
      <c r="L16" s="1">
        <v>1</v>
      </c>
      <c r="M16" s="8">
        <v>0</v>
      </c>
    </row>
    <row r="17" spans="1:13" hidden="1" x14ac:dyDescent="0.25">
      <c r="A17" s="7">
        <v>14</v>
      </c>
      <c r="B17" s="1" t="s">
        <v>37</v>
      </c>
      <c r="C17" s="1">
        <v>3.6</v>
      </c>
      <c r="D17" s="1" t="s">
        <v>41</v>
      </c>
      <c r="E17" s="1">
        <v>5.3</v>
      </c>
      <c r="F17" s="1">
        <v>0.6</v>
      </c>
      <c r="G17" s="1">
        <v>2.99</v>
      </c>
      <c r="H17" s="1">
        <v>0.3</v>
      </c>
      <c r="I17" s="1" t="s">
        <v>39</v>
      </c>
      <c r="J17" s="1">
        <v>4</v>
      </c>
      <c r="K17" s="1">
        <v>10</v>
      </c>
      <c r="L17" s="1">
        <v>2</v>
      </c>
      <c r="M17" s="8">
        <v>0</v>
      </c>
    </row>
    <row r="18" spans="1:13" hidden="1" x14ac:dyDescent="0.25">
      <c r="A18" s="7">
        <v>13</v>
      </c>
      <c r="B18" s="1" t="s">
        <v>34</v>
      </c>
      <c r="C18" s="1">
        <v>1.5</v>
      </c>
      <c r="D18" s="1" t="s">
        <v>41</v>
      </c>
      <c r="E18" s="1">
        <v>4.2</v>
      </c>
      <c r="F18" s="1">
        <v>1.4</v>
      </c>
      <c r="G18" s="1">
        <v>2.59</v>
      </c>
      <c r="H18" s="1">
        <v>0.5</v>
      </c>
      <c r="I18" s="1" t="s">
        <v>39</v>
      </c>
      <c r="J18" s="1">
        <v>4</v>
      </c>
      <c r="K18" s="1">
        <v>5</v>
      </c>
      <c r="L18" s="1">
        <v>8</v>
      </c>
      <c r="M18" s="8">
        <v>0</v>
      </c>
    </row>
    <row r="19" spans="1:13" hidden="1" x14ac:dyDescent="0.25">
      <c r="A19" s="7">
        <v>16</v>
      </c>
      <c r="B19" s="1" t="s">
        <v>34</v>
      </c>
      <c r="C19" s="1">
        <v>3.1</v>
      </c>
      <c r="D19" s="1" t="s">
        <v>41</v>
      </c>
      <c r="E19" s="1">
        <v>6.1</v>
      </c>
      <c r="F19" s="1">
        <v>0.8</v>
      </c>
      <c r="G19" s="1">
        <v>2.11</v>
      </c>
      <c r="H19" s="1">
        <v>1.9</v>
      </c>
      <c r="I19" s="1" t="s">
        <v>39</v>
      </c>
      <c r="J19" s="1">
        <v>10</v>
      </c>
      <c r="K19" s="1">
        <v>7</v>
      </c>
      <c r="L19" s="1">
        <v>10</v>
      </c>
      <c r="M19" s="8">
        <v>0</v>
      </c>
    </row>
    <row r="20" spans="1:13" hidden="1" x14ac:dyDescent="0.25">
      <c r="A20" s="7">
        <v>16</v>
      </c>
      <c r="B20" s="1" t="s">
        <v>37</v>
      </c>
      <c r="C20" s="1">
        <v>6.7</v>
      </c>
      <c r="D20" s="1" t="s">
        <v>41</v>
      </c>
      <c r="E20" s="1">
        <v>6.8</v>
      </c>
      <c r="F20" s="1">
        <v>1.9</v>
      </c>
      <c r="G20" s="1">
        <v>3.08</v>
      </c>
      <c r="H20" s="1">
        <v>1.4</v>
      </c>
      <c r="I20" s="1" t="s">
        <v>39</v>
      </c>
      <c r="J20" s="1">
        <v>10</v>
      </c>
      <c r="K20" s="1">
        <v>9</v>
      </c>
      <c r="L20" s="1">
        <v>1</v>
      </c>
      <c r="M20" s="8">
        <v>0</v>
      </c>
    </row>
    <row r="21" spans="1:13" x14ac:dyDescent="0.25">
      <c r="A21" s="7">
        <v>14</v>
      </c>
      <c r="B21" s="1" t="s">
        <v>37</v>
      </c>
      <c r="C21" s="1">
        <v>1.2</v>
      </c>
      <c r="D21" s="1" t="s">
        <v>35</v>
      </c>
      <c r="E21" s="1">
        <v>7.6</v>
      </c>
      <c r="F21" s="1">
        <v>1</v>
      </c>
      <c r="G21" s="1">
        <v>3.85</v>
      </c>
      <c r="H21" s="1">
        <v>0.8</v>
      </c>
      <c r="I21" s="1" t="s">
        <v>39</v>
      </c>
      <c r="J21" s="1">
        <v>8</v>
      </c>
      <c r="K21" s="1">
        <v>4</v>
      </c>
      <c r="L21" s="1">
        <v>6</v>
      </c>
      <c r="M21" s="8">
        <v>0</v>
      </c>
    </row>
    <row r="22" spans="1:13" hidden="1" x14ac:dyDescent="0.25">
      <c r="A22" s="7">
        <v>16</v>
      </c>
      <c r="B22" s="1" t="s">
        <v>34</v>
      </c>
      <c r="C22" s="1">
        <v>3.4</v>
      </c>
      <c r="D22" s="1" t="s">
        <v>38</v>
      </c>
      <c r="E22" s="1">
        <v>4.5999999999999996</v>
      </c>
      <c r="F22" s="1">
        <v>2.1</v>
      </c>
      <c r="G22" s="1">
        <v>2.2400000000000002</v>
      </c>
      <c r="H22" s="1">
        <v>0.4</v>
      </c>
      <c r="I22" s="1" t="s">
        <v>39</v>
      </c>
      <c r="J22" s="1">
        <v>4</v>
      </c>
      <c r="K22" s="1">
        <v>1</v>
      </c>
      <c r="L22" s="1">
        <v>3</v>
      </c>
      <c r="M22" s="8">
        <v>0</v>
      </c>
    </row>
    <row r="23" spans="1:13" hidden="1" x14ac:dyDescent="0.25">
      <c r="A23" s="7">
        <v>18</v>
      </c>
      <c r="B23" s="1" t="s">
        <v>34</v>
      </c>
      <c r="C23" s="1">
        <v>4.0999999999999996</v>
      </c>
      <c r="D23" s="1" t="s">
        <v>41</v>
      </c>
      <c r="E23" s="1">
        <v>7.4</v>
      </c>
      <c r="F23" s="1">
        <v>2.4</v>
      </c>
      <c r="G23" s="1">
        <v>2.38</v>
      </c>
      <c r="H23" s="1">
        <v>1.5</v>
      </c>
      <c r="I23" s="1" t="s">
        <v>40</v>
      </c>
      <c r="J23" s="1">
        <v>8</v>
      </c>
      <c r="K23" s="1">
        <v>4</v>
      </c>
      <c r="L23" s="1">
        <v>9</v>
      </c>
      <c r="M23" s="8">
        <v>0</v>
      </c>
    </row>
    <row r="24" spans="1:13" hidden="1" x14ac:dyDescent="0.25">
      <c r="A24" s="7">
        <v>18</v>
      </c>
      <c r="B24" s="1" t="s">
        <v>34</v>
      </c>
      <c r="C24" s="1">
        <v>5.3</v>
      </c>
      <c r="D24" s="1" t="s">
        <v>35</v>
      </c>
      <c r="E24" s="1">
        <v>4.9000000000000004</v>
      </c>
      <c r="F24" s="1">
        <v>1.2</v>
      </c>
      <c r="G24" s="1">
        <v>3.69</v>
      </c>
      <c r="H24" s="1">
        <v>1.2</v>
      </c>
      <c r="I24" s="1" t="s">
        <v>36</v>
      </c>
      <c r="J24" s="1">
        <v>5</v>
      </c>
      <c r="K24" s="1">
        <v>4</v>
      </c>
      <c r="L24" s="1">
        <v>5</v>
      </c>
      <c r="M24" s="8">
        <v>0</v>
      </c>
    </row>
    <row r="25" spans="1:13" hidden="1" x14ac:dyDescent="0.25">
      <c r="A25" s="7">
        <v>18</v>
      </c>
      <c r="B25" s="1" t="s">
        <v>37</v>
      </c>
      <c r="C25" s="1">
        <v>2.2999999999999998</v>
      </c>
      <c r="D25" s="1" t="s">
        <v>38</v>
      </c>
      <c r="E25" s="1">
        <v>7.6</v>
      </c>
      <c r="F25" s="1">
        <v>0.5</v>
      </c>
      <c r="G25" s="1">
        <v>2.96</v>
      </c>
      <c r="H25" s="1">
        <v>1.7</v>
      </c>
      <c r="I25" s="1" t="s">
        <v>40</v>
      </c>
      <c r="J25" s="1">
        <v>9</v>
      </c>
      <c r="K25" s="1">
        <v>8</v>
      </c>
      <c r="L25" s="1">
        <v>7</v>
      </c>
      <c r="M25" s="8">
        <v>0</v>
      </c>
    </row>
    <row r="26" spans="1:13" hidden="1" x14ac:dyDescent="0.25">
      <c r="A26" s="7">
        <v>18</v>
      </c>
      <c r="B26" s="1" t="s">
        <v>37</v>
      </c>
      <c r="C26" s="1">
        <v>2.4</v>
      </c>
      <c r="D26" s="1" t="s">
        <v>41</v>
      </c>
      <c r="E26" s="1">
        <v>6.7</v>
      </c>
      <c r="F26" s="1">
        <v>1.9</v>
      </c>
      <c r="G26" s="1">
        <v>2.5299999999999998</v>
      </c>
      <c r="H26" s="1">
        <v>0.4</v>
      </c>
      <c r="I26" s="1" t="s">
        <v>39</v>
      </c>
      <c r="J26" s="1">
        <v>8</v>
      </c>
      <c r="K26" s="1">
        <v>8</v>
      </c>
      <c r="L26" s="1">
        <v>2</v>
      </c>
      <c r="M26" s="8">
        <v>0</v>
      </c>
    </row>
    <row r="27" spans="1:13" hidden="1" x14ac:dyDescent="0.25">
      <c r="A27" s="7">
        <v>13</v>
      </c>
      <c r="B27" s="1" t="s">
        <v>37</v>
      </c>
      <c r="C27" s="1">
        <v>1.5</v>
      </c>
      <c r="D27" s="1" t="s">
        <v>41</v>
      </c>
      <c r="E27" s="1">
        <v>7.2</v>
      </c>
      <c r="F27" s="1">
        <v>2.5</v>
      </c>
      <c r="G27" s="1">
        <v>2.15</v>
      </c>
      <c r="H27" s="1">
        <v>1.3</v>
      </c>
      <c r="I27" s="1" t="s">
        <v>40</v>
      </c>
      <c r="J27" s="1">
        <v>4</v>
      </c>
      <c r="K27" s="1">
        <v>6</v>
      </c>
      <c r="L27" s="1">
        <v>2</v>
      </c>
      <c r="M27" s="8">
        <v>0</v>
      </c>
    </row>
    <row r="28" spans="1:13" hidden="1" x14ac:dyDescent="0.25">
      <c r="A28" s="7">
        <v>14</v>
      </c>
      <c r="B28" s="1" t="s">
        <v>37</v>
      </c>
      <c r="C28" s="1">
        <v>5.7</v>
      </c>
      <c r="D28" s="1" t="s">
        <v>41</v>
      </c>
      <c r="E28" s="1">
        <v>8.6999999999999993</v>
      </c>
      <c r="F28" s="1">
        <v>0.6</v>
      </c>
      <c r="G28" s="1">
        <v>2.64</v>
      </c>
      <c r="H28" s="1">
        <v>0.1</v>
      </c>
      <c r="I28" s="1" t="s">
        <v>36</v>
      </c>
      <c r="J28" s="1">
        <v>8</v>
      </c>
      <c r="K28" s="1">
        <v>9</v>
      </c>
      <c r="L28" s="1">
        <v>4</v>
      </c>
      <c r="M28" s="8">
        <v>0</v>
      </c>
    </row>
    <row r="29" spans="1:13" hidden="1" x14ac:dyDescent="0.25">
      <c r="A29" s="7">
        <v>19</v>
      </c>
      <c r="B29" s="1" t="s">
        <v>34</v>
      </c>
      <c r="C29" s="1">
        <v>2</v>
      </c>
      <c r="D29" s="1" t="s">
        <v>38</v>
      </c>
      <c r="E29" s="1">
        <v>7.1</v>
      </c>
      <c r="F29" s="1">
        <v>0.9</v>
      </c>
      <c r="G29" s="1">
        <v>3.26</v>
      </c>
      <c r="H29" s="1">
        <v>1.6</v>
      </c>
      <c r="I29" s="1" t="s">
        <v>39</v>
      </c>
      <c r="J29" s="1">
        <v>7</v>
      </c>
      <c r="K29" s="1">
        <v>5</v>
      </c>
      <c r="L29" s="1">
        <v>9</v>
      </c>
      <c r="M29" s="8">
        <v>0</v>
      </c>
    </row>
    <row r="30" spans="1:13" hidden="1" x14ac:dyDescent="0.25">
      <c r="A30" s="7">
        <v>14</v>
      </c>
      <c r="B30" s="1" t="s">
        <v>34</v>
      </c>
      <c r="C30" s="1">
        <v>2.5</v>
      </c>
      <c r="D30" s="1" t="s">
        <v>38</v>
      </c>
      <c r="E30" s="1">
        <v>5.6</v>
      </c>
      <c r="F30" s="1">
        <v>2.9</v>
      </c>
      <c r="G30" s="1">
        <v>2.2400000000000002</v>
      </c>
      <c r="H30" s="1">
        <v>0.5</v>
      </c>
      <c r="I30" s="1" t="s">
        <v>36</v>
      </c>
      <c r="J30" s="1">
        <v>3</v>
      </c>
      <c r="K30" s="1">
        <v>9</v>
      </c>
      <c r="L30" s="1">
        <v>5</v>
      </c>
      <c r="M30" s="8">
        <v>0</v>
      </c>
    </row>
    <row r="31" spans="1:13" hidden="1" x14ac:dyDescent="0.25">
      <c r="A31" s="7">
        <v>16</v>
      </c>
      <c r="B31" s="1" t="s">
        <v>37</v>
      </c>
      <c r="C31" s="1">
        <v>3.4</v>
      </c>
      <c r="D31" s="1" t="s">
        <v>38</v>
      </c>
      <c r="E31" s="1">
        <v>7.8</v>
      </c>
      <c r="F31" s="1">
        <v>2.8</v>
      </c>
      <c r="G31" s="1">
        <v>3.83</v>
      </c>
      <c r="H31" s="1">
        <v>1.8</v>
      </c>
      <c r="I31" s="1" t="s">
        <v>40</v>
      </c>
      <c r="J31" s="1">
        <v>6</v>
      </c>
      <c r="K31" s="1">
        <v>6</v>
      </c>
      <c r="L31" s="1">
        <v>4</v>
      </c>
      <c r="M31" s="8">
        <v>0</v>
      </c>
    </row>
    <row r="32" spans="1:13" hidden="1" x14ac:dyDescent="0.25">
      <c r="A32" s="7">
        <v>13</v>
      </c>
      <c r="B32" s="1" t="s">
        <v>34</v>
      </c>
      <c r="C32" s="1">
        <v>6.6</v>
      </c>
      <c r="D32" s="1" t="s">
        <v>38</v>
      </c>
      <c r="E32" s="1">
        <v>5.7</v>
      </c>
      <c r="F32" s="1">
        <v>2.5</v>
      </c>
      <c r="G32" s="1">
        <v>2.67</v>
      </c>
      <c r="H32" s="1">
        <v>1.1000000000000001</v>
      </c>
      <c r="I32" s="1" t="s">
        <v>36</v>
      </c>
      <c r="J32" s="1">
        <v>2</v>
      </c>
      <c r="K32" s="1">
        <v>1</v>
      </c>
      <c r="L32" s="1">
        <v>10</v>
      </c>
      <c r="M32" s="8">
        <v>0</v>
      </c>
    </row>
    <row r="33" spans="1:13" x14ac:dyDescent="0.25">
      <c r="A33" s="7">
        <v>13</v>
      </c>
      <c r="B33" s="1" t="s">
        <v>37</v>
      </c>
      <c r="C33" s="1">
        <v>1.6</v>
      </c>
      <c r="D33" s="1" t="s">
        <v>35</v>
      </c>
      <c r="E33" s="1">
        <v>8.6999999999999993</v>
      </c>
      <c r="F33" s="1">
        <v>2.5</v>
      </c>
      <c r="G33" s="1">
        <v>3.69</v>
      </c>
      <c r="H33" s="1">
        <v>0.4</v>
      </c>
      <c r="I33" s="1" t="s">
        <v>39</v>
      </c>
      <c r="J33" s="1">
        <v>8</v>
      </c>
      <c r="K33" s="1">
        <v>2</v>
      </c>
      <c r="L33" s="1">
        <v>9</v>
      </c>
      <c r="M33" s="8">
        <v>0</v>
      </c>
    </row>
    <row r="34" spans="1:13" hidden="1" x14ac:dyDescent="0.25">
      <c r="A34" s="7">
        <v>16</v>
      </c>
      <c r="B34" s="1" t="s">
        <v>34</v>
      </c>
      <c r="C34" s="1">
        <v>2.7</v>
      </c>
      <c r="D34" s="1" t="s">
        <v>35</v>
      </c>
      <c r="E34" s="1">
        <v>4.2</v>
      </c>
      <c r="F34" s="1">
        <v>2.4</v>
      </c>
      <c r="G34" s="1">
        <v>3.05</v>
      </c>
      <c r="H34" s="1">
        <v>0.2</v>
      </c>
      <c r="I34" s="1" t="s">
        <v>39</v>
      </c>
      <c r="J34" s="1">
        <v>1</v>
      </c>
      <c r="K34" s="1">
        <v>8</v>
      </c>
      <c r="L34" s="1">
        <v>4</v>
      </c>
      <c r="M34" s="8">
        <v>0</v>
      </c>
    </row>
    <row r="35" spans="1:13" hidden="1" x14ac:dyDescent="0.25">
      <c r="A35" s="7">
        <v>14</v>
      </c>
      <c r="B35" s="1" t="s">
        <v>34</v>
      </c>
      <c r="C35" s="1">
        <v>4.0999999999999996</v>
      </c>
      <c r="D35" s="1" t="s">
        <v>38</v>
      </c>
      <c r="E35" s="1">
        <v>8</v>
      </c>
      <c r="F35" s="1">
        <v>3</v>
      </c>
      <c r="G35" s="1">
        <v>2.31</v>
      </c>
      <c r="H35" s="1">
        <v>0.8</v>
      </c>
      <c r="I35" s="1" t="s">
        <v>36</v>
      </c>
      <c r="J35" s="1">
        <v>8</v>
      </c>
      <c r="K35" s="1">
        <v>4</v>
      </c>
      <c r="L35" s="1">
        <v>1</v>
      </c>
      <c r="M35" s="8">
        <v>0</v>
      </c>
    </row>
    <row r="36" spans="1:13" hidden="1" x14ac:dyDescent="0.25">
      <c r="A36" s="7">
        <v>13</v>
      </c>
      <c r="B36" s="1" t="s">
        <v>37</v>
      </c>
      <c r="C36" s="1">
        <v>6.6</v>
      </c>
      <c r="D36" s="1" t="s">
        <v>38</v>
      </c>
      <c r="E36" s="1">
        <v>7.3</v>
      </c>
      <c r="F36" s="1">
        <v>1.6</v>
      </c>
      <c r="G36" s="1">
        <v>3.27</v>
      </c>
      <c r="H36" s="1">
        <v>0.1</v>
      </c>
      <c r="I36" s="1" t="s">
        <v>40</v>
      </c>
      <c r="J36" s="1">
        <v>10</v>
      </c>
      <c r="K36" s="1">
        <v>2</v>
      </c>
      <c r="L36" s="1">
        <v>1</v>
      </c>
      <c r="M36" s="8">
        <v>0</v>
      </c>
    </row>
    <row r="37" spans="1:13" hidden="1" x14ac:dyDescent="0.25">
      <c r="A37" s="7">
        <v>17</v>
      </c>
      <c r="B37" s="1" t="s">
        <v>37</v>
      </c>
      <c r="C37" s="1">
        <v>5</v>
      </c>
      <c r="D37" s="1" t="s">
        <v>41</v>
      </c>
      <c r="E37" s="1">
        <v>4.9000000000000004</v>
      </c>
      <c r="F37" s="1">
        <v>2.1</v>
      </c>
      <c r="G37" s="1">
        <v>2.0099999999999998</v>
      </c>
      <c r="H37" s="1">
        <v>1</v>
      </c>
      <c r="I37" s="1" t="s">
        <v>36</v>
      </c>
      <c r="J37" s="1">
        <v>9</v>
      </c>
      <c r="K37" s="1">
        <v>4</v>
      </c>
      <c r="L37" s="1">
        <v>9</v>
      </c>
      <c r="M37" s="8">
        <v>0</v>
      </c>
    </row>
    <row r="38" spans="1:13" x14ac:dyDescent="0.25">
      <c r="A38" s="7">
        <v>19</v>
      </c>
      <c r="B38" s="1" t="s">
        <v>37</v>
      </c>
      <c r="C38" s="1">
        <v>4.5999999999999996</v>
      </c>
      <c r="D38" s="1" t="s">
        <v>35</v>
      </c>
      <c r="E38" s="1">
        <v>5.5</v>
      </c>
      <c r="F38" s="1">
        <v>2.5</v>
      </c>
      <c r="G38" s="1">
        <v>3.96</v>
      </c>
      <c r="H38" s="1">
        <v>0.8</v>
      </c>
      <c r="I38" s="1" t="s">
        <v>39</v>
      </c>
      <c r="J38" s="1">
        <v>3</v>
      </c>
      <c r="K38" s="1">
        <v>10</v>
      </c>
      <c r="L38" s="1">
        <v>7</v>
      </c>
      <c r="M38" s="8">
        <v>0</v>
      </c>
    </row>
    <row r="39" spans="1:13" x14ac:dyDescent="0.25">
      <c r="A39" s="7">
        <v>17</v>
      </c>
      <c r="B39" s="1" t="s">
        <v>37</v>
      </c>
      <c r="C39" s="1">
        <v>4.8</v>
      </c>
      <c r="D39" s="1" t="s">
        <v>35</v>
      </c>
      <c r="E39" s="1">
        <v>4.4000000000000004</v>
      </c>
      <c r="F39" s="1">
        <v>1.3</v>
      </c>
      <c r="G39" s="1">
        <v>2.02</v>
      </c>
      <c r="H39" s="1">
        <v>0.5</v>
      </c>
      <c r="I39" s="1" t="s">
        <v>36</v>
      </c>
      <c r="J39" s="1">
        <v>5</v>
      </c>
      <c r="K39" s="1">
        <v>10</v>
      </c>
      <c r="L39" s="1">
        <v>6</v>
      </c>
      <c r="M39" s="8">
        <v>0</v>
      </c>
    </row>
    <row r="40" spans="1:13" hidden="1" x14ac:dyDescent="0.25">
      <c r="A40" s="7">
        <v>17</v>
      </c>
      <c r="B40" s="1" t="s">
        <v>37</v>
      </c>
      <c r="C40" s="1">
        <v>1.3</v>
      </c>
      <c r="D40" s="1" t="s">
        <v>38</v>
      </c>
      <c r="E40" s="1">
        <v>8</v>
      </c>
      <c r="F40" s="1">
        <v>2</v>
      </c>
      <c r="G40" s="1">
        <v>2.84</v>
      </c>
      <c r="H40" s="1">
        <v>1.8</v>
      </c>
      <c r="I40" s="1" t="s">
        <v>39</v>
      </c>
      <c r="J40" s="1">
        <v>1</v>
      </c>
      <c r="K40" s="1">
        <v>7</v>
      </c>
      <c r="L40" s="1">
        <v>8</v>
      </c>
      <c r="M40" s="8">
        <v>0</v>
      </c>
    </row>
    <row r="41" spans="1:13" x14ac:dyDescent="0.25">
      <c r="A41" s="7">
        <v>17</v>
      </c>
      <c r="B41" s="1" t="s">
        <v>37</v>
      </c>
      <c r="C41" s="1">
        <v>6.3</v>
      </c>
      <c r="D41" s="1" t="s">
        <v>35</v>
      </c>
      <c r="E41" s="1">
        <v>4</v>
      </c>
      <c r="F41" s="1">
        <v>1</v>
      </c>
      <c r="G41" s="1">
        <v>2.4300000000000002</v>
      </c>
      <c r="H41" s="1">
        <v>1.2</v>
      </c>
      <c r="I41" s="1" t="s">
        <v>39</v>
      </c>
      <c r="J41" s="1">
        <v>1</v>
      </c>
      <c r="K41" s="1">
        <v>10</v>
      </c>
      <c r="L41" s="1">
        <v>9</v>
      </c>
      <c r="M41" s="8">
        <v>0</v>
      </c>
    </row>
    <row r="42" spans="1:13" hidden="1" x14ac:dyDescent="0.25">
      <c r="A42" s="7">
        <v>14</v>
      </c>
      <c r="B42" s="1" t="s">
        <v>34</v>
      </c>
      <c r="C42" s="1">
        <v>6.4</v>
      </c>
      <c r="D42" s="1" t="s">
        <v>35</v>
      </c>
      <c r="E42" s="1">
        <v>5.7</v>
      </c>
      <c r="F42" s="1">
        <v>0.9</v>
      </c>
      <c r="G42" s="1">
        <v>2.06</v>
      </c>
      <c r="H42" s="1">
        <v>1.8</v>
      </c>
      <c r="I42" s="1" t="s">
        <v>39</v>
      </c>
      <c r="J42" s="1">
        <v>10</v>
      </c>
      <c r="K42" s="1">
        <v>4</v>
      </c>
      <c r="L42" s="1">
        <v>2</v>
      </c>
      <c r="M42" s="8">
        <v>0</v>
      </c>
    </row>
    <row r="43" spans="1:13" hidden="1" x14ac:dyDescent="0.25">
      <c r="A43" s="7">
        <v>19</v>
      </c>
      <c r="B43" s="1" t="s">
        <v>34</v>
      </c>
      <c r="C43" s="1">
        <v>1.6</v>
      </c>
      <c r="D43" s="1" t="s">
        <v>35</v>
      </c>
      <c r="E43" s="1">
        <v>8.6</v>
      </c>
      <c r="F43" s="1">
        <v>2.4</v>
      </c>
      <c r="G43" s="1">
        <v>3.81</v>
      </c>
      <c r="H43" s="1">
        <v>0.4</v>
      </c>
      <c r="I43" s="1" t="s">
        <v>36</v>
      </c>
      <c r="J43" s="1">
        <v>10</v>
      </c>
      <c r="K43" s="1">
        <v>4</v>
      </c>
      <c r="L43" s="1">
        <v>1</v>
      </c>
      <c r="M43" s="8">
        <v>0</v>
      </c>
    </row>
    <row r="44" spans="1:13" x14ac:dyDescent="0.25">
      <c r="A44" s="7">
        <v>14</v>
      </c>
      <c r="B44" s="1" t="s">
        <v>37</v>
      </c>
      <c r="C44" s="1">
        <v>7.3</v>
      </c>
      <c r="D44" s="1" t="s">
        <v>35</v>
      </c>
      <c r="E44" s="1">
        <v>7.7</v>
      </c>
      <c r="F44" s="1">
        <v>1.4</v>
      </c>
      <c r="G44" s="1">
        <v>3.42</v>
      </c>
      <c r="H44" s="1">
        <v>0.3</v>
      </c>
      <c r="I44" s="1" t="s">
        <v>40</v>
      </c>
      <c r="J44" s="1">
        <v>6</v>
      </c>
      <c r="K44" s="1">
        <v>1</v>
      </c>
      <c r="L44" s="1">
        <v>8</v>
      </c>
      <c r="M44" s="8">
        <v>0</v>
      </c>
    </row>
    <row r="45" spans="1:13" hidden="1" x14ac:dyDescent="0.25">
      <c r="A45" s="7">
        <v>15</v>
      </c>
      <c r="B45" s="1" t="s">
        <v>34</v>
      </c>
      <c r="C45" s="1">
        <v>4</v>
      </c>
      <c r="D45" s="1" t="s">
        <v>41</v>
      </c>
      <c r="E45" s="1">
        <v>8.8000000000000007</v>
      </c>
      <c r="F45" s="1">
        <v>1.3</v>
      </c>
      <c r="G45" s="1">
        <v>3.59</v>
      </c>
      <c r="H45" s="1">
        <v>1.9</v>
      </c>
      <c r="I45" s="1" t="s">
        <v>40</v>
      </c>
      <c r="J45" s="1">
        <v>10</v>
      </c>
      <c r="K45" s="1">
        <v>6</v>
      </c>
      <c r="L45" s="1">
        <v>10</v>
      </c>
      <c r="M45" s="8">
        <v>0</v>
      </c>
    </row>
    <row r="46" spans="1:13" hidden="1" x14ac:dyDescent="0.25">
      <c r="A46" s="7">
        <v>14</v>
      </c>
      <c r="B46" s="1" t="s">
        <v>34</v>
      </c>
      <c r="C46" s="1">
        <v>5.2</v>
      </c>
      <c r="D46" s="1" t="s">
        <v>41</v>
      </c>
      <c r="E46" s="1">
        <v>4.0999999999999996</v>
      </c>
      <c r="F46" s="1">
        <v>2.1</v>
      </c>
      <c r="G46" s="1">
        <v>3.07</v>
      </c>
      <c r="H46" s="1">
        <v>0.2</v>
      </c>
      <c r="I46" s="1" t="s">
        <v>40</v>
      </c>
      <c r="J46" s="1">
        <v>9</v>
      </c>
      <c r="K46" s="1">
        <v>3</v>
      </c>
      <c r="L46" s="1">
        <v>8</v>
      </c>
      <c r="M46" s="8">
        <v>0</v>
      </c>
    </row>
    <row r="47" spans="1:13" hidden="1" x14ac:dyDescent="0.25">
      <c r="A47" s="7">
        <v>14</v>
      </c>
      <c r="B47" s="1" t="s">
        <v>37</v>
      </c>
      <c r="C47" s="1">
        <v>4.5</v>
      </c>
      <c r="D47" s="1" t="s">
        <v>38</v>
      </c>
      <c r="E47" s="1">
        <v>4.8</v>
      </c>
      <c r="F47" s="1">
        <v>0.9</v>
      </c>
      <c r="G47" s="1">
        <v>2.2200000000000002</v>
      </c>
      <c r="H47" s="1">
        <v>0.8</v>
      </c>
      <c r="I47" s="1" t="s">
        <v>36</v>
      </c>
      <c r="J47" s="1">
        <v>1</v>
      </c>
      <c r="K47" s="1">
        <v>4</v>
      </c>
      <c r="L47" s="1">
        <v>10</v>
      </c>
      <c r="M47" s="8">
        <v>0</v>
      </c>
    </row>
    <row r="48" spans="1:13" hidden="1" x14ac:dyDescent="0.25">
      <c r="A48" s="7">
        <v>18</v>
      </c>
      <c r="B48" s="1" t="s">
        <v>34</v>
      </c>
      <c r="C48" s="1">
        <v>6.8</v>
      </c>
      <c r="D48" s="1" t="s">
        <v>38</v>
      </c>
      <c r="E48" s="1">
        <v>8.6</v>
      </c>
      <c r="F48" s="1">
        <v>1.1000000000000001</v>
      </c>
      <c r="G48" s="1">
        <v>2.36</v>
      </c>
      <c r="H48" s="1">
        <v>1.6</v>
      </c>
      <c r="I48" s="1" t="s">
        <v>39</v>
      </c>
      <c r="J48" s="1">
        <v>1</v>
      </c>
      <c r="K48" s="1">
        <v>10</v>
      </c>
      <c r="L48" s="1">
        <v>10</v>
      </c>
      <c r="M48" s="8">
        <v>0</v>
      </c>
    </row>
    <row r="49" spans="1:13" x14ac:dyDescent="0.25">
      <c r="A49" s="7">
        <v>13</v>
      </c>
      <c r="B49" s="1" t="s">
        <v>37</v>
      </c>
      <c r="C49" s="1">
        <v>3.5</v>
      </c>
      <c r="D49" s="1" t="s">
        <v>35</v>
      </c>
      <c r="E49" s="1">
        <v>5.0999999999999996</v>
      </c>
      <c r="F49" s="1">
        <v>1.1000000000000001</v>
      </c>
      <c r="G49" s="1">
        <v>2.27</v>
      </c>
      <c r="H49" s="1">
        <v>1.8</v>
      </c>
      <c r="I49" s="1" t="s">
        <v>40</v>
      </c>
      <c r="J49" s="1">
        <v>2</v>
      </c>
      <c r="K49" s="1">
        <v>5</v>
      </c>
      <c r="L49" s="1">
        <v>6</v>
      </c>
      <c r="M49" s="8">
        <v>0</v>
      </c>
    </row>
    <row r="50" spans="1:13" hidden="1" x14ac:dyDescent="0.25">
      <c r="A50" s="7">
        <v>16</v>
      </c>
      <c r="B50" s="1" t="s">
        <v>34</v>
      </c>
      <c r="C50" s="1">
        <v>2.2999999999999998</v>
      </c>
      <c r="D50" s="1" t="s">
        <v>38</v>
      </c>
      <c r="E50" s="1">
        <v>6.3</v>
      </c>
      <c r="F50" s="1">
        <v>3</v>
      </c>
      <c r="G50" s="1">
        <v>3.24</v>
      </c>
      <c r="H50" s="1">
        <v>1.9</v>
      </c>
      <c r="I50" s="1" t="s">
        <v>40</v>
      </c>
      <c r="J50" s="1">
        <v>4</v>
      </c>
      <c r="K50" s="1">
        <v>4</v>
      </c>
      <c r="L50" s="1">
        <v>9</v>
      </c>
      <c r="M50" s="8">
        <v>0</v>
      </c>
    </row>
    <row r="51" spans="1:13" hidden="1" x14ac:dyDescent="0.25">
      <c r="A51" s="7">
        <v>14</v>
      </c>
      <c r="B51" s="1" t="s">
        <v>34</v>
      </c>
      <c r="C51" s="1">
        <v>1.2</v>
      </c>
      <c r="D51" s="1" t="s">
        <v>35</v>
      </c>
      <c r="E51" s="1">
        <v>8.5</v>
      </c>
      <c r="F51" s="1">
        <v>1.8</v>
      </c>
      <c r="G51" s="1">
        <v>3.65</v>
      </c>
      <c r="H51" s="1">
        <v>1.8</v>
      </c>
      <c r="I51" s="1" t="s">
        <v>39</v>
      </c>
      <c r="J51" s="1">
        <v>5</v>
      </c>
      <c r="K51" s="1">
        <v>10</v>
      </c>
      <c r="L51" s="1">
        <v>10</v>
      </c>
      <c r="M51" s="8">
        <v>0</v>
      </c>
    </row>
    <row r="52" spans="1:13" hidden="1" x14ac:dyDescent="0.25">
      <c r="A52" s="7">
        <v>13</v>
      </c>
      <c r="B52" s="1" t="s">
        <v>34</v>
      </c>
      <c r="C52" s="1">
        <v>6.2</v>
      </c>
      <c r="D52" s="1" t="s">
        <v>41</v>
      </c>
      <c r="E52" s="1">
        <v>7.1</v>
      </c>
      <c r="F52" s="1">
        <v>2.2000000000000002</v>
      </c>
      <c r="G52" s="1">
        <v>3.43</v>
      </c>
      <c r="H52" s="1">
        <v>0.2</v>
      </c>
      <c r="I52" s="1" t="s">
        <v>40</v>
      </c>
      <c r="J52" s="1">
        <v>5</v>
      </c>
      <c r="K52" s="1">
        <v>2</v>
      </c>
      <c r="L52" s="1">
        <v>2</v>
      </c>
      <c r="M52" s="8">
        <v>0</v>
      </c>
    </row>
    <row r="53" spans="1:13" hidden="1" x14ac:dyDescent="0.25">
      <c r="A53" s="7">
        <v>18</v>
      </c>
      <c r="B53" s="1" t="s">
        <v>34</v>
      </c>
      <c r="C53" s="1">
        <v>4.5</v>
      </c>
      <c r="D53" s="1" t="s">
        <v>38</v>
      </c>
      <c r="E53" s="1">
        <v>4.0999999999999996</v>
      </c>
      <c r="F53" s="1">
        <v>1.9</v>
      </c>
      <c r="G53" s="1">
        <v>3.42</v>
      </c>
      <c r="H53" s="1">
        <v>0.1</v>
      </c>
      <c r="I53" s="1" t="s">
        <v>40</v>
      </c>
      <c r="J53" s="1">
        <v>6</v>
      </c>
      <c r="K53" s="1">
        <v>7</v>
      </c>
      <c r="L53" s="1">
        <v>8</v>
      </c>
      <c r="M53" s="8">
        <v>0</v>
      </c>
    </row>
    <row r="54" spans="1:13" hidden="1" x14ac:dyDescent="0.25">
      <c r="A54" s="7">
        <v>18</v>
      </c>
      <c r="B54" s="1" t="s">
        <v>34</v>
      </c>
      <c r="C54" s="1">
        <v>2.9</v>
      </c>
      <c r="D54" s="1" t="s">
        <v>35</v>
      </c>
      <c r="E54" s="1">
        <v>4.5</v>
      </c>
      <c r="F54" s="1">
        <v>2.5</v>
      </c>
      <c r="G54" s="1">
        <v>3.16</v>
      </c>
      <c r="H54" s="1">
        <v>1.3</v>
      </c>
      <c r="I54" s="1" t="s">
        <v>36</v>
      </c>
      <c r="J54" s="1">
        <v>3</v>
      </c>
      <c r="K54" s="1">
        <v>7</v>
      </c>
      <c r="L54" s="1">
        <v>8</v>
      </c>
      <c r="M54" s="8">
        <v>0</v>
      </c>
    </row>
    <row r="55" spans="1:13" hidden="1" x14ac:dyDescent="0.25">
      <c r="A55" s="7">
        <v>13</v>
      </c>
      <c r="B55" s="1" t="s">
        <v>37</v>
      </c>
      <c r="C55" s="1">
        <v>5.8</v>
      </c>
      <c r="D55" s="1" t="s">
        <v>38</v>
      </c>
      <c r="E55" s="1">
        <v>8.5</v>
      </c>
      <c r="F55" s="1">
        <v>2.2999999999999998</v>
      </c>
      <c r="G55" s="1">
        <v>3.3</v>
      </c>
      <c r="H55" s="1">
        <v>1.9</v>
      </c>
      <c r="I55" s="1" t="s">
        <v>39</v>
      </c>
      <c r="J55" s="1">
        <v>1</v>
      </c>
      <c r="K55" s="1">
        <v>1</v>
      </c>
      <c r="L55" s="1">
        <v>5</v>
      </c>
      <c r="M55" s="8">
        <v>0</v>
      </c>
    </row>
    <row r="56" spans="1:13" hidden="1" x14ac:dyDescent="0.25">
      <c r="A56" s="7">
        <v>18</v>
      </c>
      <c r="B56" s="1" t="s">
        <v>34</v>
      </c>
      <c r="C56" s="1">
        <v>6.8</v>
      </c>
      <c r="D56" s="1" t="s">
        <v>35</v>
      </c>
      <c r="E56" s="1">
        <v>6.5</v>
      </c>
      <c r="F56" s="1">
        <v>2.7</v>
      </c>
      <c r="G56" s="1">
        <v>2.97</v>
      </c>
      <c r="H56" s="1">
        <v>1.9</v>
      </c>
      <c r="I56" s="1" t="s">
        <v>36</v>
      </c>
      <c r="J56" s="1">
        <v>4</v>
      </c>
      <c r="K56" s="1">
        <v>4</v>
      </c>
      <c r="L56" s="1">
        <v>5</v>
      </c>
      <c r="M56" s="8">
        <v>0</v>
      </c>
    </row>
    <row r="57" spans="1:13" x14ac:dyDescent="0.25">
      <c r="A57" s="7">
        <v>15</v>
      </c>
      <c r="B57" s="1" t="s">
        <v>37</v>
      </c>
      <c r="C57" s="1">
        <v>7.4</v>
      </c>
      <c r="D57" s="1" t="s">
        <v>35</v>
      </c>
      <c r="E57" s="1">
        <v>8.6</v>
      </c>
      <c r="F57" s="1">
        <v>0.9</v>
      </c>
      <c r="G57" s="1">
        <v>2.2999999999999998</v>
      </c>
      <c r="H57" s="1">
        <v>0</v>
      </c>
      <c r="I57" s="1" t="s">
        <v>36</v>
      </c>
      <c r="J57" s="1">
        <v>1</v>
      </c>
      <c r="K57" s="1">
        <v>5</v>
      </c>
      <c r="L57" s="1">
        <v>3</v>
      </c>
      <c r="M57" s="8">
        <v>0</v>
      </c>
    </row>
    <row r="58" spans="1:13" hidden="1" x14ac:dyDescent="0.25">
      <c r="A58" s="7">
        <v>18</v>
      </c>
      <c r="B58" s="1" t="s">
        <v>34</v>
      </c>
      <c r="C58" s="1">
        <v>4.5</v>
      </c>
      <c r="D58" s="1" t="s">
        <v>38</v>
      </c>
      <c r="E58" s="1">
        <v>5</v>
      </c>
      <c r="F58" s="1">
        <v>2.5</v>
      </c>
      <c r="G58" s="1">
        <v>2.65</v>
      </c>
      <c r="H58" s="1">
        <v>0.7</v>
      </c>
      <c r="I58" s="1" t="s">
        <v>40</v>
      </c>
      <c r="J58" s="1">
        <v>8</v>
      </c>
      <c r="K58" s="1">
        <v>9</v>
      </c>
      <c r="L58" s="1">
        <v>1</v>
      </c>
      <c r="M58" s="8">
        <v>0</v>
      </c>
    </row>
    <row r="59" spans="1:13" hidden="1" x14ac:dyDescent="0.25">
      <c r="A59" s="7">
        <v>16</v>
      </c>
      <c r="B59" s="1" t="s">
        <v>34</v>
      </c>
      <c r="C59" s="1">
        <v>6.4</v>
      </c>
      <c r="D59" s="1" t="s">
        <v>38</v>
      </c>
      <c r="E59" s="1">
        <v>5.3</v>
      </c>
      <c r="F59" s="1">
        <v>2.4</v>
      </c>
      <c r="G59" s="1">
        <v>2.0299999999999998</v>
      </c>
      <c r="H59" s="1">
        <v>1.7</v>
      </c>
      <c r="I59" s="1" t="s">
        <v>40</v>
      </c>
      <c r="J59" s="1">
        <v>7</v>
      </c>
      <c r="K59" s="1">
        <v>5</v>
      </c>
      <c r="L59" s="1">
        <v>10</v>
      </c>
      <c r="M59" s="8">
        <v>0</v>
      </c>
    </row>
    <row r="60" spans="1:13" hidden="1" x14ac:dyDescent="0.25">
      <c r="A60" s="7">
        <v>13</v>
      </c>
      <c r="B60" s="1" t="s">
        <v>34</v>
      </c>
      <c r="C60" s="1">
        <v>7.3</v>
      </c>
      <c r="D60" s="1" t="s">
        <v>41</v>
      </c>
      <c r="E60" s="1">
        <v>4.2</v>
      </c>
      <c r="F60" s="1">
        <v>1.3</v>
      </c>
      <c r="G60" s="1">
        <v>2.16</v>
      </c>
      <c r="H60" s="1">
        <v>1</v>
      </c>
      <c r="I60" s="1" t="s">
        <v>39</v>
      </c>
      <c r="J60" s="1">
        <v>4</v>
      </c>
      <c r="K60" s="1">
        <v>5</v>
      </c>
      <c r="L60" s="1">
        <v>2</v>
      </c>
      <c r="M60" s="8">
        <v>0</v>
      </c>
    </row>
    <row r="61" spans="1:13" x14ac:dyDescent="0.25">
      <c r="A61" s="7">
        <v>17</v>
      </c>
      <c r="B61" s="1" t="s">
        <v>37</v>
      </c>
      <c r="C61" s="1">
        <v>7.1</v>
      </c>
      <c r="D61" s="1" t="s">
        <v>35</v>
      </c>
      <c r="E61" s="1">
        <v>5.6</v>
      </c>
      <c r="F61" s="1">
        <v>0.6</v>
      </c>
      <c r="G61" s="1">
        <v>3.07</v>
      </c>
      <c r="H61" s="1">
        <v>1</v>
      </c>
      <c r="I61" s="1" t="s">
        <v>40</v>
      </c>
      <c r="J61" s="1">
        <v>1</v>
      </c>
      <c r="K61" s="1">
        <v>3</v>
      </c>
      <c r="L61" s="1">
        <v>7</v>
      </c>
      <c r="M61" s="8">
        <v>0</v>
      </c>
    </row>
    <row r="62" spans="1:13" hidden="1" x14ac:dyDescent="0.25">
      <c r="A62" s="7">
        <v>18</v>
      </c>
      <c r="B62" s="1" t="s">
        <v>34</v>
      </c>
      <c r="C62" s="1">
        <v>1.6</v>
      </c>
      <c r="D62" s="1" t="s">
        <v>38</v>
      </c>
      <c r="E62" s="1">
        <v>5.0999999999999996</v>
      </c>
      <c r="F62" s="1">
        <v>2.7</v>
      </c>
      <c r="G62" s="1">
        <v>3.57</v>
      </c>
      <c r="H62" s="1">
        <v>0.8</v>
      </c>
      <c r="I62" s="1" t="s">
        <v>39</v>
      </c>
      <c r="J62" s="1">
        <v>3</v>
      </c>
      <c r="K62" s="1">
        <v>9</v>
      </c>
      <c r="L62" s="1">
        <v>7</v>
      </c>
      <c r="M62" s="8">
        <v>0</v>
      </c>
    </row>
    <row r="63" spans="1:13" x14ac:dyDescent="0.25">
      <c r="A63" s="7">
        <v>15</v>
      </c>
      <c r="B63" s="1" t="s">
        <v>37</v>
      </c>
      <c r="C63" s="1">
        <v>1.5</v>
      </c>
      <c r="D63" s="1" t="s">
        <v>35</v>
      </c>
      <c r="E63" s="1">
        <v>4.7</v>
      </c>
      <c r="F63" s="1">
        <v>1</v>
      </c>
      <c r="G63" s="1">
        <v>3.82</v>
      </c>
      <c r="H63" s="1">
        <v>0.6</v>
      </c>
      <c r="I63" s="1" t="s">
        <v>40</v>
      </c>
      <c r="J63" s="1">
        <v>6</v>
      </c>
      <c r="K63" s="1">
        <v>1</v>
      </c>
      <c r="L63" s="1">
        <v>4</v>
      </c>
      <c r="M63" s="8">
        <v>0</v>
      </c>
    </row>
    <row r="64" spans="1:13" hidden="1" x14ac:dyDescent="0.25">
      <c r="A64" s="7">
        <v>13</v>
      </c>
      <c r="B64" s="1" t="s">
        <v>34</v>
      </c>
      <c r="C64" s="1">
        <v>4.3</v>
      </c>
      <c r="D64" s="1" t="s">
        <v>41</v>
      </c>
      <c r="E64" s="1">
        <v>5.8</v>
      </c>
      <c r="F64" s="1">
        <v>0.7</v>
      </c>
      <c r="G64" s="1">
        <v>3.15</v>
      </c>
      <c r="H64" s="1">
        <v>0.1</v>
      </c>
      <c r="I64" s="1" t="s">
        <v>40</v>
      </c>
      <c r="J64" s="1">
        <v>7</v>
      </c>
      <c r="K64" s="1">
        <v>2</v>
      </c>
      <c r="L64" s="1">
        <v>1</v>
      </c>
      <c r="M64" s="8">
        <v>0</v>
      </c>
    </row>
    <row r="65" spans="1:13" hidden="1" x14ac:dyDescent="0.25">
      <c r="A65" s="7">
        <v>17</v>
      </c>
      <c r="B65" s="1" t="s">
        <v>34</v>
      </c>
      <c r="C65" s="1">
        <v>2.5</v>
      </c>
      <c r="D65" s="1" t="s">
        <v>41</v>
      </c>
      <c r="E65" s="1">
        <v>6.7</v>
      </c>
      <c r="F65" s="1">
        <v>2</v>
      </c>
      <c r="G65" s="1">
        <v>2.56</v>
      </c>
      <c r="H65" s="1">
        <v>1.7</v>
      </c>
      <c r="I65" s="1" t="s">
        <v>39</v>
      </c>
      <c r="J65" s="1">
        <v>5</v>
      </c>
      <c r="K65" s="1">
        <v>7</v>
      </c>
      <c r="L65" s="1">
        <v>5</v>
      </c>
      <c r="M65" s="8">
        <v>0</v>
      </c>
    </row>
    <row r="66" spans="1:13" hidden="1" x14ac:dyDescent="0.25">
      <c r="A66" s="7">
        <v>19</v>
      </c>
      <c r="B66" s="1" t="s">
        <v>37</v>
      </c>
      <c r="C66" s="1">
        <v>7.9</v>
      </c>
      <c r="D66" s="1" t="s">
        <v>38</v>
      </c>
      <c r="E66" s="1">
        <v>5.0999999999999996</v>
      </c>
      <c r="F66" s="1">
        <v>1.7</v>
      </c>
      <c r="G66" s="1">
        <v>2.8</v>
      </c>
      <c r="H66" s="1">
        <v>0.8</v>
      </c>
      <c r="I66" s="1" t="s">
        <v>36</v>
      </c>
      <c r="J66" s="1">
        <v>6</v>
      </c>
      <c r="K66" s="1">
        <v>1</v>
      </c>
      <c r="L66" s="1">
        <v>8</v>
      </c>
      <c r="M66" s="8">
        <v>0</v>
      </c>
    </row>
    <row r="67" spans="1:13" hidden="1" x14ac:dyDescent="0.25">
      <c r="A67" s="7">
        <v>17</v>
      </c>
      <c r="B67" s="1" t="s">
        <v>34</v>
      </c>
      <c r="C67" s="1">
        <v>2.7</v>
      </c>
      <c r="D67" s="1" t="s">
        <v>35</v>
      </c>
      <c r="E67" s="1">
        <v>8</v>
      </c>
      <c r="F67" s="1">
        <v>2.6</v>
      </c>
      <c r="G67" s="1">
        <v>3.53</v>
      </c>
      <c r="H67" s="1">
        <v>1.9</v>
      </c>
      <c r="I67" s="1" t="s">
        <v>39</v>
      </c>
      <c r="J67" s="1">
        <v>1</v>
      </c>
      <c r="K67" s="1">
        <v>8</v>
      </c>
      <c r="L67" s="1">
        <v>7</v>
      </c>
      <c r="M67" s="8">
        <v>0</v>
      </c>
    </row>
    <row r="68" spans="1:13" hidden="1" x14ac:dyDescent="0.25">
      <c r="A68" s="7">
        <v>13</v>
      </c>
      <c r="B68" s="1" t="s">
        <v>34</v>
      </c>
      <c r="C68" s="1">
        <v>3.1</v>
      </c>
      <c r="D68" s="1" t="s">
        <v>38</v>
      </c>
      <c r="E68" s="1">
        <v>8.1999999999999993</v>
      </c>
      <c r="F68" s="1">
        <v>1.5</v>
      </c>
      <c r="G68" s="1">
        <v>2.4500000000000002</v>
      </c>
      <c r="H68" s="1">
        <v>0.3</v>
      </c>
      <c r="I68" s="1" t="s">
        <v>36</v>
      </c>
      <c r="J68" s="1">
        <v>5</v>
      </c>
      <c r="K68" s="1">
        <v>8</v>
      </c>
      <c r="L68" s="1">
        <v>6</v>
      </c>
      <c r="M68" s="8">
        <v>0</v>
      </c>
    </row>
    <row r="69" spans="1:13" hidden="1" x14ac:dyDescent="0.25">
      <c r="A69" s="7">
        <v>17</v>
      </c>
      <c r="B69" s="1" t="s">
        <v>34</v>
      </c>
      <c r="C69" s="1">
        <v>5.8</v>
      </c>
      <c r="D69" s="1" t="s">
        <v>41</v>
      </c>
      <c r="E69" s="1">
        <v>7.6</v>
      </c>
      <c r="F69" s="1">
        <v>0.7</v>
      </c>
      <c r="G69" s="1">
        <v>2.83</v>
      </c>
      <c r="H69" s="1">
        <v>1</v>
      </c>
      <c r="I69" s="1" t="s">
        <v>40</v>
      </c>
      <c r="J69" s="1">
        <v>7</v>
      </c>
      <c r="K69" s="1">
        <v>6</v>
      </c>
      <c r="L69" s="1">
        <v>8</v>
      </c>
      <c r="M69" s="8">
        <v>0</v>
      </c>
    </row>
    <row r="70" spans="1:13" hidden="1" x14ac:dyDescent="0.25">
      <c r="A70" s="7">
        <v>14</v>
      </c>
      <c r="B70" s="1" t="s">
        <v>37</v>
      </c>
      <c r="C70" s="1">
        <v>3.9</v>
      </c>
      <c r="D70" s="1" t="s">
        <v>41</v>
      </c>
      <c r="E70" s="1">
        <v>7</v>
      </c>
      <c r="F70" s="1">
        <v>2.8</v>
      </c>
      <c r="G70" s="1">
        <v>2.8</v>
      </c>
      <c r="H70" s="1">
        <v>0.1</v>
      </c>
      <c r="I70" s="1" t="s">
        <v>36</v>
      </c>
      <c r="J70" s="1">
        <v>8</v>
      </c>
      <c r="K70" s="1">
        <v>2</v>
      </c>
      <c r="L70" s="1">
        <v>8</v>
      </c>
      <c r="M70" s="8">
        <v>0</v>
      </c>
    </row>
    <row r="71" spans="1:13" hidden="1" x14ac:dyDescent="0.25">
      <c r="A71" s="7">
        <v>15</v>
      </c>
      <c r="B71" s="1" t="s">
        <v>34</v>
      </c>
      <c r="C71" s="1">
        <v>7.5</v>
      </c>
      <c r="D71" s="1" t="s">
        <v>41</v>
      </c>
      <c r="E71" s="1">
        <v>7</v>
      </c>
      <c r="F71" s="1">
        <v>0.9</v>
      </c>
      <c r="G71" s="1">
        <v>3.48</v>
      </c>
      <c r="H71" s="1">
        <v>1.1000000000000001</v>
      </c>
      <c r="I71" s="1" t="s">
        <v>39</v>
      </c>
      <c r="J71" s="1">
        <v>2</v>
      </c>
      <c r="K71" s="1">
        <v>2</v>
      </c>
      <c r="L71" s="1">
        <v>6</v>
      </c>
      <c r="M71" s="8">
        <v>0</v>
      </c>
    </row>
    <row r="72" spans="1:13" hidden="1" x14ac:dyDescent="0.25">
      <c r="A72" s="7">
        <v>14</v>
      </c>
      <c r="B72" s="1" t="s">
        <v>34</v>
      </c>
      <c r="C72" s="1">
        <v>5.2</v>
      </c>
      <c r="D72" s="1" t="s">
        <v>41</v>
      </c>
      <c r="E72" s="1">
        <v>6.7</v>
      </c>
      <c r="F72" s="1">
        <v>2</v>
      </c>
      <c r="G72" s="1">
        <v>3.48</v>
      </c>
      <c r="H72" s="1">
        <v>1</v>
      </c>
      <c r="I72" s="1" t="s">
        <v>40</v>
      </c>
      <c r="J72" s="1">
        <v>2</v>
      </c>
      <c r="K72" s="1">
        <v>1</v>
      </c>
      <c r="L72" s="1">
        <v>5</v>
      </c>
      <c r="M72" s="8">
        <v>0</v>
      </c>
    </row>
    <row r="73" spans="1:13" hidden="1" x14ac:dyDescent="0.25">
      <c r="A73" s="7">
        <v>16</v>
      </c>
      <c r="B73" s="1" t="s">
        <v>37</v>
      </c>
      <c r="C73" s="1">
        <v>3.1</v>
      </c>
      <c r="D73" s="1" t="s">
        <v>38</v>
      </c>
      <c r="E73" s="1">
        <v>5</v>
      </c>
      <c r="F73" s="1">
        <v>1.1000000000000001</v>
      </c>
      <c r="G73" s="1">
        <v>2.73</v>
      </c>
      <c r="H73" s="1">
        <v>1.6</v>
      </c>
      <c r="I73" s="1" t="s">
        <v>36</v>
      </c>
      <c r="J73" s="1">
        <v>2</v>
      </c>
      <c r="K73" s="1">
        <v>8</v>
      </c>
      <c r="L73" s="1">
        <v>1</v>
      </c>
      <c r="M73" s="8">
        <v>0</v>
      </c>
    </row>
    <row r="74" spans="1:13" x14ac:dyDescent="0.25">
      <c r="A74" s="7">
        <v>16</v>
      </c>
      <c r="B74" s="1" t="s">
        <v>37</v>
      </c>
      <c r="C74" s="1">
        <v>2</v>
      </c>
      <c r="D74" s="1" t="s">
        <v>35</v>
      </c>
      <c r="E74" s="1">
        <v>8.6999999999999993</v>
      </c>
      <c r="F74" s="1">
        <v>1.2</v>
      </c>
      <c r="G74" s="1">
        <v>3</v>
      </c>
      <c r="H74" s="1">
        <v>0</v>
      </c>
      <c r="I74" s="1" t="s">
        <v>36</v>
      </c>
      <c r="J74" s="1">
        <v>8</v>
      </c>
      <c r="K74" s="1">
        <v>8</v>
      </c>
      <c r="L74" s="1">
        <v>4</v>
      </c>
      <c r="M74" s="8">
        <v>0</v>
      </c>
    </row>
    <row r="75" spans="1:13" hidden="1" x14ac:dyDescent="0.25">
      <c r="A75" s="7">
        <v>14</v>
      </c>
      <c r="B75" s="1" t="s">
        <v>34</v>
      </c>
      <c r="C75" s="1">
        <v>2.7</v>
      </c>
      <c r="D75" s="1" t="s">
        <v>35</v>
      </c>
      <c r="E75" s="1">
        <v>8.4</v>
      </c>
      <c r="F75" s="1">
        <v>1.3</v>
      </c>
      <c r="G75" s="1">
        <v>2.0099999999999998</v>
      </c>
      <c r="H75" s="1">
        <v>0.6</v>
      </c>
      <c r="I75" s="1" t="s">
        <v>36</v>
      </c>
      <c r="J75" s="1">
        <v>6</v>
      </c>
      <c r="K75" s="1">
        <v>3</v>
      </c>
      <c r="L75" s="1">
        <v>8</v>
      </c>
      <c r="M75" s="8">
        <v>0</v>
      </c>
    </row>
    <row r="76" spans="1:13" hidden="1" x14ac:dyDescent="0.25">
      <c r="A76" s="7">
        <v>14</v>
      </c>
      <c r="B76" s="1" t="s">
        <v>34</v>
      </c>
      <c r="C76" s="1">
        <v>1.5</v>
      </c>
      <c r="D76" s="1" t="s">
        <v>41</v>
      </c>
      <c r="E76" s="1">
        <v>4.3</v>
      </c>
      <c r="F76" s="1">
        <v>2.1</v>
      </c>
      <c r="G76" s="1">
        <v>3.9</v>
      </c>
      <c r="H76" s="1">
        <v>1.5</v>
      </c>
      <c r="I76" s="1" t="s">
        <v>36</v>
      </c>
      <c r="J76" s="1">
        <v>10</v>
      </c>
      <c r="K76" s="1">
        <v>2</v>
      </c>
      <c r="L76" s="1">
        <v>4</v>
      </c>
      <c r="M76" s="8">
        <v>0</v>
      </c>
    </row>
    <row r="77" spans="1:13" x14ac:dyDescent="0.25">
      <c r="A77" s="7">
        <v>17</v>
      </c>
      <c r="B77" s="1" t="s">
        <v>37</v>
      </c>
      <c r="C77" s="1">
        <v>6.9</v>
      </c>
      <c r="D77" s="1" t="s">
        <v>35</v>
      </c>
      <c r="E77" s="1">
        <v>8.1999999999999993</v>
      </c>
      <c r="F77" s="1">
        <v>0.8</v>
      </c>
      <c r="G77" s="1">
        <v>2.36</v>
      </c>
      <c r="H77" s="1">
        <v>0</v>
      </c>
      <c r="I77" s="1" t="s">
        <v>40</v>
      </c>
      <c r="J77" s="1">
        <v>10</v>
      </c>
      <c r="K77" s="1">
        <v>10</v>
      </c>
      <c r="L77" s="1">
        <v>7</v>
      </c>
      <c r="M77" s="8">
        <v>0</v>
      </c>
    </row>
    <row r="78" spans="1:13" hidden="1" x14ac:dyDescent="0.25">
      <c r="A78" s="7">
        <v>13</v>
      </c>
      <c r="B78" s="1" t="s">
        <v>34</v>
      </c>
      <c r="C78" s="1">
        <v>1.1000000000000001</v>
      </c>
      <c r="D78" s="1" t="s">
        <v>38</v>
      </c>
      <c r="E78" s="1">
        <v>7.1</v>
      </c>
      <c r="F78" s="1">
        <v>1.8</v>
      </c>
      <c r="G78" s="1">
        <v>2.5499999999999998</v>
      </c>
      <c r="H78" s="1">
        <v>0.8</v>
      </c>
      <c r="I78" s="1" t="s">
        <v>39</v>
      </c>
      <c r="J78" s="1">
        <v>5</v>
      </c>
      <c r="K78" s="1">
        <v>5</v>
      </c>
      <c r="L78" s="1">
        <v>10</v>
      </c>
      <c r="M78" s="8">
        <v>0</v>
      </c>
    </row>
    <row r="79" spans="1:13" hidden="1" x14ac:dyDescent="0.25">
      <c r="A79" s="7">
        <v>13</v>
      </c>
      <c r="B79" s="1" t="s">
        <v>34</v>
      </c>
      <c r="C79" s="1">
        <v>3.4</v>
      </c>
      <c r="D79" s="1" t="s">
        <v>38</v>
      </c>
      <c r="E79" s="1">
        <v>4.4000000000000004</v>
      </c>
      <c r="F79" s="1">
        <v>0.6</v>
      </c>
      <c r="G79" s="1">
        <v>3.41</v>
      </c>
      <c r="H79" s="1">
        <v>0.2</v>
      </c>
      <c r="I79" s="1" t="s">
        <v>36</v>
      </c>
      <c r="J79" s="1">
        <v>8</v>
      </c>
      <c r="K79" s="1">
        <v>6</v>
      </c>
      <c r="L79" s="1">
        <v>3</v>
      </c>
      <c r="M79" s="8">
        <v>0</v>
      </c>
    </row>
    <row r="80" spans="1:13" hidden="1" x14ac:dyDescent="0.25">
      <c r="A80" s="7">
        <v>15</v>
      </c>
      <c r="B80" s="1" t="s">
        <v>34</v>
      </c>
      <c r="C80" s="1">
        <v>6.7</v>
      </c>
      <c r="D80" s="1" t="s">
        <v>41</v>
      </c>
      <c r="E80" s="1">
        <v>4.5</v>
      </c>
      <c r="F80" s="1">
        <v>2.1</v>
      </c>
      <c r="G80" s="1">
        <v>3.71</v>
      </c>
      <c r="H80" s="1">
        <v>1.3</v>
      </c>
      <c r="I80" s="1" t="s">
        <v>39</v>
      </c>
      <c r="J80" s="1">
        <v>3</v>
      </c>
      <c r="K80" s="1">
        <v>3</v>
      </c>
      <c r="L80" s="1">
        <v>3</v>
      </c>
      <c r="M80" s="8">
        <v>0</v>
      </c>
    </row>
    <row r="81" spans="1:13" hidden="1" x14ac:dyDescent="0.25">
      <c r="A81" s="7">
        <v>18</v>
      </c>
      <c r="B81" s="1" t="s">
        <v>34</v>
      </c>
      <c r="C81" s="1">
        <v>1.1000000000000001</v>
      </c>
      <c r="D81" s="1" t="s">
        <v>41</v>
      </c>
      <c r="E81" s="1">
        <v>7.2</v>
      </c>
      <c r="F81" s="1">
        <v>1</v>
      </c>
      <c r="G81" s="1">
        <v>3.13</v>
      </c>
      <c r="H81" s="1">
        <v>0.6</v>
      </c>
      <c r="I81" s="1" t="s">
        <v>40</v>
      </c>
      <c r="J81" s="1">
        <v>2</v>
      </c>
      <c r="K81" s="1">
        <v>1</v>
      </c>
      <c r="L81" s="1">
        <v>4</v>
      </c>
      <c r="M81" s="8">
        <v>0</v>
      </c>
    </row>
    <row r="82" spans="1:13" x14ac:dyDescent="0.25">
      <c r="A82" s="7">
        <v>18</v>
      </c>
      <c r="B82" s="1" t="s">
        <v>37</v>
      </c>
      <c r="C82" s="1">
        <v>7.4</v>
      </c>
      <c r="D82" s="1" t="s">
        <v>35</v>
      </c>
      <c r="E82" s="1">
        <v>7.5</v>
      </c>
      <c r="F82" s="1">
        <v>2.2999999999999998</v>
      </c>
      <c r="G82" s="1">
        <v>2.39</v>
      </c>
      <c r="H82" s="1">
        <v>0.9</v>
      </c>
      <c r="I82" s="1" t="s">
        <v>39</v>
      </c>
      <c r="J82" s="1">
        <v>4</v>
      </c>
      <c r="K82" s="1">
        <v>1</v>
      </c>
      <c r="L82" s="1">
        <v>4</v>
      </c>
      <c r="M82" s="8">
        <v>0</v>
      </c>
    </row>
    <row r="83" spans="1:13" hidden="1" x14ac:dyDescent="0.25">
      <c r="A83" s="7">
        <v>19</v>
      </c>
      <c r="B83" s="1" t="s">
        <v>37</v>
      </c>
      <c r="C83" s="1">
        <v>4.8</v>
      </c>
      <c r="D83" s="1" t="s">
        <v>38</v>
      </c>
      <c r="E83" s="1">
        <v>6</v>
      </c>
      <c r="F83" s="1">
        <v>1.5</v>
      </c>
      <c r="G83" s="1">
        <v>2.61</v>
      </c>
      <c r="H83" s="1">
        <v>1.2</v>
      </c>
      <c r="I83" s="1" t="s">
        <v>39</v>
      </c>
      <c r="J83" s="1">
        <v>2</v>
      </c>
      <c r="K83" s="1">
        <v>2</v>
      </c>
      <c r="L83" s="1">
        <v>6</v>
      </c>
      <c r="M83" s="8">
        <v>0</v>
      </c>
    </row>
    <row r="84" spans="1:13" hidden="1" x14ac:dyDescent="0.25">
      <c r="A84" s="7">
        <v>14</v>
      </c>
      <c r="B84" s="1" t="s">
        <v>34</v>
      </c>
      <c r="C84" s="1">
        <v>1.2</v>
      </c>
      <c r="D84" s="1" t="s">
        <v>41</v>
      </c>
      <c r="E84" s="1">
        <v>5.2</v>
      </c>
      <c r="F84" s="1">
        <v>2.2000000000000002</v>
      </c>
      <c r="G84" s="1">
        <v>2.19</v>
      </c>
      <c r="H84" s="1">
        <v>1.9</v>
      </c>
      <c r="I84" s="1" t="s">
        <v>40</v>
      </c>
      <c r="J84" s="1">
        <v>9</v>
      </c>
      <c r="K84" s="1">
        <v>9</v>
      </c>
      <c r="L84" s="1">
        <v>4</v>
      </c>
      <c r="M84" s="8">
        <v>0</v>
      </c>
    </row>
    <row r="85" spans="1:13" hidden="1" x14ac:dyDescent="0.25">
      <c r="A85" s="7">
        <v>13</v>
      </c>
      <c r="B85" s="1" t="s">
        <v>34</v>
      </c>
      <c r="C85" s="1">
        <v>7.4</v>
      </c>
      <c r="D85" s="1" t="s">
        <v>35</v>
      </c>
      <c r="E85" s="1">
        <v>5.6</v>
      </c>
      <c r="F85" s="1">
        <v>1.4</v>
      </c>
      <c r="G85" s="1">
        <v>2.95</v>
      </c>
      <c r="H85" s="1">
        <v>1.7</v>
      </c>
      <c r="I85" s="1" t="s">
        <v>39</v>
      </c>
      <c r="J85" s="1">
        <v>8</v>
      </c>
      <c r="K85" s="1">
        <v>5</v>
      </c>
      <c r="L85" s="1">
        <v>5</v>
      </c>
      <c r="M85" s="8">
        <v>0</v>
      </c>
    </row>
    <row r="86" spans="1:13" hidden="1" x14ac:dyDescent="0.25">
      <c r="A86" s="7">
        <v>16</v>
      </c>
      <c r="B86" s="1" t="s">
        <v>37</v>
      </c>
      <c r="C86" s="1">
        <v>2.6</v>
      </c>
      <c r="D86" s="1" t="s">
        <v>41</v>
      </c>
      <c r="E86" s="1">
        <v>8.6</v>
      </c>
      <c r="F86" s="1">
        <v>1.3</v>
      </c>
      <c r="G86" s="1">
        <v>3.64</v>
      </c>
      <c r="H86" s="1">
        <v>1.6</v>
      </c>
      <c r="I86" s="1" t="s">
        <v>39</v>
      </c>
      <c r="J86" s="1">
        <v>5</v>
      </c>
      <c r="K86" s="1">
        <v>3</v>
      </c>
      <c r="L86" s="1">
        <v>1</v>
      </c>
      <c r="M86" s="8">
        <v>0</v>
      </c>
    </row>
    <row r="87" spans="1:13" hidden="1" x14ac:dyDescent="0.25">
      <c r="A87" s="7">
        <v>17</v>
      </c>
      <c r="B87" s="1" t="s">
        <v>37</v>
      </c>
      <c r="C87" s="1">
        <v>5</v>
      </c>
      <c r="D87" s="1" t="s">
        <v>41</v>
      </c>
      <c r="E87" s="1">
        <v>9</v>
      </c>
      <c r="F87" s="1">
        <v>2.5</v>
      </c>
      <c r="G87" s="1">
        <v>3.4</v>
      </c>
      <c r="H87" s="1">
        <v>0.9</v>
      </c>
      <c r="I87" s="1" t="s">
        <v>39</v>
      </c>
      <c r="J87" s="1">
        <v>8</v>
      </c>
      <c r="K87" s="1">
        <v>10</v>
      </c>
      <c r="L87" s="1">
        <v>5</v>
      </c>
      <c r="M87" s="8">
        <v>0</v>
      </c>
    </row>
    <row r="88" spans="1:13" hidden="1" x14ac:dyDescent="0.25">
      <c r="A88" s="7">
        <v>18</v>
      </c>
      <c r="B88" s="1" t="s">
        <v>34</v>
      </c>
      <c r="C88" s="1">
        <v>7.5</v>
      </c>
      <c r="D88" s="1" t="s">
        <v>35</v>
      </c>
      <c r="E88" s="1">
        <v>7.4</v>
      </c>
      <c r="F88" s="1">
        <v>1.8</v>
      </c>
      <c r="G88" s="1">
        <v>3.47</v>
      </c>
      <c r="H88" s="1">
        <v>0</v>
      </c>
      <c r="I88" s="1" t="s">
        <v>36</v>
      </c>
      <c r="J88" s="1">
        <v>9</v>
      </c>
      <c r="K88" s="1">
        <v>4</v>
      </c>
      <c r="L88" s="1">
        <v>2</v>
      </c>
      <c r="M88" s="8">
        <v>0</v>
      </c>
    </row>
    <row r="89" spans="1:13" hidden="1" x14ac:dyDescent="0.25">
      <c r="A89" s="7">
        <v>17</v>
      </c>
      <c r="B89" s="1" t="s">
        <v>37</v>
      </c>
      <c r="C89" s="1">
        <v>5.4</v>
      </c>
      <c r="D89" s="1" t="s">
        <v>41</v>
      </c>
      <c r="E89" s="1">
        <v>5.7</v>
      </c>
      <c r="F89" s="1">
        <v>2.5</v>
      </c>
      <c r="G89" s="1">
        <v>3.13</v>
      </c>
      <c r="H89" s="1">
        <v>1.9</v>
      </c>
      <c r="I89" s="1" t="s">
        <v>40</v>
      </c>
      <c r="J89" s="1">
        <v>5</v>
      </c>
      <c r="K89" s="1">
        <v>10</v>
      </c>
      <c r="L89" s="1">
        <v>3</v>
      </c>
      <c r="M89" s="8">
        <v>0</v>
      </c>
    </row>
    <row r="90" spans="1:13" x14ac:dyDescent="0.25">
      <c r="A90" s="7">
        <v>17</v>
      </c>
      <c r="B90" s="1" t="s">
        <v>37</v>
      </c>
      <c r="C90" s="1">
        <v>5.6</v>
      </c>
      <c r="D90" s="1" t="s">
        <v>35</v>
      </c>
      <c r="E90" s="1">
        <v>5.3</v>
      </c>
      <c r="F90" s="1">
        <v>1.7</v>
      </c>
      <c r="G90" s="1">
        <v>2.77</v>
      </c>
      <c r="H90" s="1">
        <v>0.9</v>
      </c>
      <c r="I90" s="1" t="s">
        <v>40</v>
      </c>
      <c r="J90" s="1">
        <v>8</v>
      </c>
      <c r="K90" s="1">
        <v>4</v>
      </c>
      <c r="L90" s="1">
        <v>8</v>
      </c>
      <c r="M90" s="8">
        <v>0</v>
      </c>
    </row>
    <row r="91" spans="1:13" hidden="1" x14ac:dyDescent="0.25">
      <c r="A91" s="7">
        <v>18</v>
      </c>
      <c r="B91" s="1" t="s">
        <v>34</v>
      </c>
      <c r="C91" s="1">
        <v>6.2</v>
      </c>
      <c r="D91" s="1" t="s">
        <v>35</v>
      </c>
      <c r="E91" s="1">
        <v>4.0999999999999996</v>
      </c>
      <c r="F91" s="1">
        <v>2.8</v>
      </c>
      <c r="G91" s="1">
        <v>3.41</v>
      </c>
      <c r="H91" s="1">
        <v>1.1000000000000001</v>
      </c>
      <c r="I91" s="1" t="s">
        <v>40</v>
      </c>
      <c r="J91" s="1">
        <v>7</v>
      </c>
      <c r="K91" s="1">
        <v>8</v>
      </c>
      <c r="L91" s="1">
        <v>1</v>
      </c>
      <c r="M91" s="8">
        <v>1</v>
      </c>
    </row>
    <row r="92" spans="1:13" x14ac:dyDescent="0.25">
      <c r="A92" s="7">
        <v>17</v>
      </c>
      <c r="B92" s="1" t="s">
        <v>37</v>
      </c>
      <c r="C92" s="1">
        <v>4.7</v>
      </c>
      <c r="D92" s="1" t="s">
        <v>35</v>
      </c>
      <c r="E92" s="1">
        <v>4.7</v>
      </c>
      <c r="F92" s="1">
        <v>2.4</v>
      </c>
      <c r="G92" s="1">
        <v>3.94</v>
      </c>
      <c r="H92" s="1">
        <v>0</v>
      </c>
      <c r="I92" s="1" t="s">
        <v>40</v>
      </c>
      <c r="J92" s="1">
        <v>10</v>
      </c>
      <c r="K92" s="1">
        <v>5</v>
      </c>
      <c r="L92" s="1">
        <v>8</v>
      </c>
      <c r="M92" s="8">
        <v>0</v>
      </c>
    </row>
    <row r="93" spans="1:13" x14ac:dyDescent="0.25">
      <c r="A93" s="7">
        <v>18</v>
      </c>
      <c r="B93" s="1" t="s">
        <v>37</v>
      </c>
      <c r="C93" s="1">
        <v>4</v>
      </c>
      <c r="D93" s="1" t="s">
        <v>35</v>
      </c>
      <c r="E93" s="1">
        <v>4.5999999999999996</v>
      </c>
      <c r="F93" s="1">
        <v>2.2000000000000002</v>
      </c>
      <c r="G93" s="1">
        <v>3.7</v>
      </c>
      <c r="H93" s="1">
        <v>0.6</v>
      </c>
      <c r="I93" s="1" t="s">
        <v>40</v>
      </c>
      <c r="J93" s="1">
        <v>4</v>
      </c>
      <c r="K93" s="1">
        <v>1</v>
      </c>
      <c r="L93" s="1">
        <v>4</v>
      </c>
      <c r="M93" s="8">
        <v>0</v>
      </c>
    </row>
    <row r="94" spans="1:13" hidden="1" x14ac:dyDescent="0.25">
      <c r="A94" s="7">
        <v>18</v>
      </c>
      <c r="B94" s="1" t="s">
        <v>34</v>
      </c>
      <c r="C94" s="1">
        <v>6.2</v>
      </c>
      <c r="D94" s="1" t="s">
        <v>38</v>
      </c>
      <c r="E94" s="1">
        <v>8.6</v>
      </c>
      <c r="F94" s="1">
        <v>1.5</v>
      </c>
      <c r="G94" s="1">
        <v>3.22</v>
      </c>
      <c r="H94" s="1">
        <v>1.6</v>
      </c>
      <c r="I94" s="1" t="s">
        <v>36</v>
      </c>
      <c r="J94" s="1">
        <v>4</v>
      </c>
      <c r="K94" s="1">
        <v>5</v>
      </c>
      <c r="L94" s="1">
        <v>7</v>
      </c>
      <c r="M94" s="8">
        <v>0</v>
      </c>
    </row>
    <row r="95" spans="1:13" hidden="1" x14ac:dyDescent="0.25">
      <c r="A95" s="7">
        <v>17</v>
      </c>
      <c r="B95" s="1" t="s">
        <v>37</v>
      </c>
      <c r="C95" s="1">
        <v>5.6</v>
      </c>
      <c r="D95" s="1" t="s">
        <v>38</v>
      </c>
      <c r="E95" s="1">
        <v>6.8</v>
      </c>
      <c r="F95" s="1">
        <v>2</v>
      </c>
      <c r="G95" s="1">
        <v>2.2200000000000002</v>
      </c>
      <c r="H95" s="1">
        <v>1</v>
      </c>
      <c r="I95" s="1" t="s">
        <v>40</v>
      </c>
      <c r="J95" s="1">
        <v>6</v>
      </c>
      <c r="K95" s="1">
        <v>9</v>
      </c>
      <c r="L95" s="1">
        <v>8</v>
      </c>
      <c r="M95" s="8">
        <v>0</v>
      </c>
    </row>
    <row r="96" spans="1:13" x14ac:dyDescent="0.25">
      <c r="A96" s="7">
        <v>13</v>
      </c>
      <c r="B96" s="1" t="s">
        <v>37</v>
      </c>
      <c r="C96" s="1">
        <v>4</v>
      </c>
      <c r="D96" s="1" t="s">
        <v>35</v>
      </c>
      <c r="E96" s="1">
        <v>4.4000000000000004</v>
      </c>
      <c r="F96" s="1">
        <v>2.5</v>
      </c>
      <c r="G96" s="1">
        <v>3.6</v>
      </c>
      <c r="H96" s="1">
        <v>1.4</v>
      </c>
      <c r="I96" s="1" t="s">
        <v>40</v>
      </c>
      <c r="J96" s="1">
        <v>7</v>
      </c>
      <c r="K96" s="1">
        <v>2</v>
      </c>
      <c r="L96" s="1">
        <v>10</v>
      </c>
      <c r="M96" s="8">
        <v>0</v>
      </c>
    </row>
    <row r="97" spans="1:13" x14ac:dyDescent="0.25">
      <c r="A97" s="7">
        <v>15</v>
      </c>
      <c r="B97" s="1" t="s">
        <v>37</v>
      </c>
      <c r="C97" s="1">
        <v>1.8</v>
      </c>
      <c r="D97" s="1" t="s">
        <v>35</v>
      </c>
      <c r="E97" s="1">
        <v>6.4</v>
      </c>
      <c r="F97" s="1">
        <v>2.4</v>
      </c>
      <c r="G97" s="1">
        <v>2.16</v>
      </c>
      <c r="H97" s="1">
        <v>1.9</v>
      </c>
      <c r="I97" s="1" t="s">
        <v>40</v>
      </c>
      <c r="J97" s="1">
        <v>3</v>
      </c>
      <c r="K97" s="1">
        <v>6</v>
      </c>
      <c r="L97" s="1">
        <v>9</v>
      </c>
      <c r="M97" s="8">
        <v>0</v>
      </c>
    </row>
    <row r="98" spans="1:13" hidden="1" x14ac:dyDescent="0.25">
      <c r="A98" s="7">
        <v>13</v>
      </c>
      <c r="B98" s="1" t="s">
        <v>34</v>
      </c>
      <c r="C98" s="1">
        <v>3.1</v>
      </c>
      <c r="D98" s="1" t="s">
        <v>38</v>
      </c>
      <c r="E98" s="1">
        <v>5.4</v>
      </c>
      <c r="F98" s="1">
        <v>1.9</v>
      </c>
      <c r="G98" s="1">
        <v>3.66</v>
      </c>
      <c r="H98" s="1">
        <v>0.4</v>
      </c>
      <c r="I98" s="1" t="s">
        <v>36</v>
      </c>
      <c r="J98" s="1">
        <v>7</v>
      </c>
      <c r="K98" s="1">
        <v>4</v>
      </c>
      <c r="L98" s="1">
        <v>2</v>
      </c>
      <c r="M98" s="8">
        <v>0</v>
      </c>
    </row>
    <row r="99" spans="1:13" hidden="1" x14ac:dyDescent="0.25">
      <c r="A99" s="7">
        <v>13</v>
      </c>
      <c r="B99" s="1" t="s">
        <v>37</v>
      </c>
      <c r="C99" s="1">
        <v>3.5</v>
      </c>
      <c r="D99" s="1" t="s">
        <v>38</v>
      </c>
      <c r="E99" s="1">
        <v>5.2</v>
      </c>
      <c r="F99" s="1">
        <v>2.5</v>
      </c>
      <c r="G99" s="1">
        <v>2.57</v>
      </c>
      <c r="H99" s="1">
        <v>1.1000000000000001</v>
      </c>
      <c r="I99" s="1" t="s">
        <v>39</v>
      </c>
      <c r="J99" s="1">
        <v>1</v>
      </c>
      <c r="K99" s="1">
        <v>6</v>
      </c>
      <c r="L99" s="1">
        <v>3</v>
      </c>
      <c r="M99" s="8">
        <v>0</v>
      </c>
    </row>
    <row r="100" spans="1:13" hidden="1" x14ac:dyDescent="0.25">
      <c r="A100" s="7">
        <v>18</v>
      </c>
      <c r="B100" s="1" t="s">
        <v>34</v>
      </c>
      <c r="C100" s="1">
        <v>7.4</v>
      </c>
      <c r="D100" s="1" t="s">
        <v>38</v>
      </c>
      <c r="E100" s="1">
        <v>6.4</v>
      </c>
      <c r="F100" s="1">
        <v>2.2000000000000002</v>
      </c>
      <c r="G100" s="1">
        <v>3.51</v>
      </c>
      <c r="H100" s="1">
        <v>1</v>
      </c>
      <c r="I100" s="1" t="s">
        <v>39</v>
      </c>
      <c r="J100" s="1">
        <v>4</v>
      </c>
      <c r="K100" s="1">
        <v>5</v>
      </c>
      <c r="L100" s="1">
        <v>4</v>
      </c>
      <c r="M100" s="8">
        <v>0</v>
      </c>
    </row>
    <row r="101" spans="1:13" hidden="1" x14ac:dyDescent="0.25">
      <c r="A101" s="7">
        <v>16</v>
      </c>
      <c r="B101" s="1" t="s">
        <v>34</v>
      </c>
      <c r="C101" s="1">
        <v>8</v>
      </c>
      <c r="D101" s="1" t="s">
        <v>35</v>
      </c>
      <c r="E101" s="1">
        <v>5.5</v>
      </c>
      <c r="F101" s="1">
        <v>1.4</v>
      </c>
      <c r="G101" s="1">
        <v>2.95</v>
      </c>
      <c r="H101" s="1">
        <v>0.3</v>
      </c>
      <c r="I101" s="1" t="s">
        <v>40</v>
      </c>
      <c r="J101" s="1">
        <v>2</v>
      </c>
      <c r="K101" s="1">
        <v>5</v>
      </c>
      <c r="L101" s="1">
        <v>2</v>
      </c>
      <c r="M101" s="8">
        <v>0</v>
      </c>
    </row>
    <row r="102" spans="1:13" hidden="1" x14ac:dyDescent="0.25">
      <c r="A102" s="7">
        <v>13</v>
      </c>
      <c r="B102" s="1" t="s">
        <v>34</v>
      </c>
      <c r="C102" s="1">
        <v>5.0999999999999996</v>
      </c>
      <c r="D102" s="1" t="s">
        <v>41</v>
      </c>
      <c r="E102" s="1">
        <v>4.0999999999999996</v>
      </c>
      <c r="F102" s="1">
        <v>1.6</v>
      </c>
      <c r="G102" s="1">
        <v>3.32</v>
      </c>
      <c r="H102" s="1">
        <v>0.8</v>
      </c>
      <c r="I102" s="1" t="s">
        <v>40</v>
      </c>
      <c r="J102" s="1">
        <v>1</v>
      </c>
      <c r="K102" s="1">
        <v>3</v>
      </c>
      <c r="L102" s="1">
        <v>8</v>
      </c>
      <c r="M102" s="8">
        <v>0</v>
      </c>
    </row>
    <row r="103" spans="1:13" x14ac:dyDescent="0.25">
      <c r="A103" s="7">
        <v>18</v>
      </c>
      <c r="B103" s="1" t="s">
        <v>37</v>
      </c>
      <c r="C103" s="1">
        <v>2.4</v>
      </c>
      <c r="D103" s="1" t="s">
        <v>35</v>
      </c>
      <c r="E103" s="1">
        <v>6.3</v>
      </c>
      <c r="F103" s="1">
        <v>1.3</v>
      </c>
      <c r="G103" s="1">
        <v>3.05</v>
      </c>
      <c r="H103" s="1">
        <v>1.7</v>
      </c>
      <c r="I103" s="1" t="s">
        <v>36</v>
      </c>
      <c r="J103" s="1">
        <v>2</v>
      </c>
      <c r="K103" s="1">
        <v>9</v>
      </c>
      <c r="L103" s="1">
        <v>5</v>
      </c>
      <c r="M103" s="8">
        <v>0</v>
      </c>
    </row>
    <row r="104" spans="1:13" hidden="1" x14ac:dyDescent="0.25">
      <c r="A104" s="7">
        <v>13</v>
      </c>
      <c r="B104" s="1" t="s">
        <v>34</v>
      </c>
      <c r="C104" s="1">
        <v>1.6</v>
      </c>
      <c r="D104" s="1" t="s">
        <v>35</v>
      </c>
      <c r="E104" s="1">
        <v>4.2</v>
      </c>
      <c r="F104" s="1">
        <v>1.5</v>
      </c>
      <c r="G104" s="1">
        <v>3.72</v>
      </c>
      <c r="H104" s="1">
        <v>1.7</v>
      </c>
      <c r="I104" s="1" t="s">
        <v>40</v>
      </c>
      <c r="J104" s="1">
        <v>10</v>
      </c>
      <c r="K104" s="1">
        <v>1</v>
      </c>
      <c r="L104" s="1">
        <v>10</v>
      </c>
      <c r="M104" s="8">
        <v>0</v>
      </c>
    </row>
    <row r="105" spans="1:13" hidden="1" x14ac:dyDescent="0.25">
      <c r="A105" s="7">
        <v>18</v>
      </c>
      <c r="B105" s="1" t="s">
        <v>34</v>
      </c>
      <c r="C105" s="1">
        <v>5.8</v>
      </c>
      <c r="D105" s="1" t="s">
        <v>35</v>
      </c>
      <c r="E105" s="1">
        <v>6.7</v>
      </c>
      <c r="F105" s="1">
        <v>1.9</v>
      </c>
      <c r="G105" s="1">
        <v>3</v>
      </c>
      <c r="H105" s="1">
        <v>1.9</v>
      </c>
      <c r="I105" s="1" t="s">
        <v>36</v>
      </c>
      <c r="J105" s="1">
        <v>5</v>
      </c>
      <c r="K105" s="1">
        <v>8</v>
      </c>
      <c r="L105" s="1">
        <v>2</v>
      </c>
      <c r="M105" s="8">
        <v>0</v>
      </c>
    </row>
    <row r="106" spans="1:13" hidden="1" x14ac:dyDescent="0.25">
      <c r="A106" s="7">
        <v>15</v>
      </c>
      <c r="B106" s="1" t="s">
        <v>34</v>
      </c>
      <c r="C106" s="1">
        <v>2.7</v>
      </c>
      <c r="D106" s="1" t="s">
        <v>38</v>
      </c>
      <c r="E106" s="1">
        <v>6.6</v>
      </c>
      <c r="F106" s="1">
        <v>1.9</v>
      </c>
      <c r="G106" s="1">
        <v>2.75</v>
      </c>
      <c r="H106" s="1">
        <v>1.9</v>
      </c>
      <c r="I106" s="1" t="s">
        <v>40</v>
      </c>
      <c r="J106" s="1">
        <v>3</v>
      </c>
      <c r="K106" s="1">
        <v>6</v>
      </c>
      <c r="L106" s="1">
        <v>6</v>
      </c>
      <c r="M106" s="8">
        <v>0</v>
      </c>
    </row>
    <row r="107" spans="1:13" hidden="1" x14ac:dyDescent="0.25">
      <c r="A107" s="7">
        <v>13</v>
      </c>
      <c r="B107" s="1" t="s">
        <v>37</v>
      </c>
      <c r="C107" s="1">
        <v>4</v>
      </c>
      <c r="D107" s="1" t="s">
        <v>41</v>
      </c>
      <c r="E107" s="1">
        <v>4.5</v>
      </c>
      <c r="F107" s="1">
        <v>1</v>
      </c>
      <c r="G107" s="1">
        <v>3.65</v>
      </c>
      <c r="H107" s="1">
        <v>1.8</v>
      </c>
      <c r="I107" s="1" t="s">
        <v>36</v>
      </c>
      <c r="J107" s="1">
        <v>5</v>
      </c>
      <c r="K107" s="1">
        <v>6</v>
      </c>
      <c r="L107" s="1">
        <v>5</v>
      </c>
      <c r="M107" s="8">
        <v>0</v>
      </c>
    </row>
    <row r="108" spans="1:13" hidden="1" x14ac:dyDescent="0.25">
      <c r="A108" s="7">
        <v>18</v>
      </c>
      <c r="B108" s="1" t="s">
        <v>34</v>
      </c>
      <c r="C108" s="1">
        <v>3.2</v>
      </c>
      <c r="D108" s="1" t="s">
        <v>41</v>
      </c>
      <c r="E108" s="1">
        <v>8.8000000000000007</v>
      </c>
      <c r="F108" s="1">
        <v>1.2</v>
      </c>
      <c r="G108" s="1">
        <v>3.71</v>
      </c>
      <c r="H108" s="1">
        <v>1.1000000000000001</v>
      </c>
      <c r="I108" s="1" t="s">
        <v>40</v>
      </c>
      <c r="J108" s="1">
        <v>7</v>
      </c>
      <c r="K108" s="1">
        <v>6</v>
      </c>
      <c r="L108" s="1">
        <v>10</v>
      </c>
      <c r="M108" s="8">
        <v>0</v>
      </c>
    </row>
    <row r="109" spans="1:13" hidden="1" x14ac:dyDescent="0.25">
      <c r="A109" s="7">
        <v>13</v>
      </c>
      <c r="B109" s="1" t="s">
        <v>34</v>
      </c>
      <c r="C109" s="1">
        <v>1.6</v>
      </c>
      <c r="D109" s="1" t="s">
        <v>38</v>
      </c>
      <c r="E109" s="1">
        <v>4.3</v>
      </c>
      <c r="F109" s="1">
        <v>0.6</v>
      </c>
      <c r="G109" s="1">
        <v>3.91</v>
      </c>
      <c r="H109" s="1">
        <v>2</v>
      </c>
      <c r="I109" s="1" t="s">
        <v>40</v>
      </c>
      <c r="J109" s="1">
        <v>5</v>
      </c>
      <c r="K109" s="1">
        <v>10</v>
      </c>
      <c r="L109" s="1">
        <v>7</v>
      </c>
      <c r="M109" s="8">
        <v>0</v>
      </c>
    </row>
    <row r="110" spans="1:13" hidden="1" x14ac:dyDescent="0.25">
      <c r="A110" s="7">
        <v>14</v>
      </c>
      <c r="B110" s="1" t="s">
        <v>34</v>
      </c>
      <c r="C110" s="1">
        <v>2.2999999999999998</v>
      </c>
      <c r="D110" s="1" t="s">
        <v>38</v>
      </c>
      <c r="E110" s="1">
        <v>8</v>
      </c>
      <c r="F110" s="1">
        <v>2.5</v>
      </c>
      <c r="G110" s="1">
        <v>3.08</v>
      </c>
      <c r="H110" s="1">
        <v>1.7</v>
      </c>
      <c r="I110" s="1" t="s">
        <v>40</v>
      </c>
      <c r="J110" s="1">
        <v>5</v>
      </c>
      <c r="K110" s="1">
        <v>6</v>
      </c>
      <c r="L110" s="1">
        <v>7</v>
      </c>
      <c r="M110" s="8">
        <v>0</v>
      </c>
    </row>
    <row r="111" spans="1:13" hidden="1" x14ac:dyDescent="0.25">
      <c r="A111" s="7">
        <v>17</v>
      </c>
      <c r="B111" s="1" t="s">
        <v>34</v>
      </c>
      <c r="C111" s="1">
        <v>7.7</v>
      </c>
      <c r="D111" s="1" t="s">
        <v>38</v>
      </c>
      <c r="E111" s="1">
        <v>8.5</v>
      </c>
      <c r="F111" s="1">
        <v>1.2</v>
      </c>
      <c r="G111" s="1">
        <v>3.56</v>
      </c>
      <c r="H111" s="1">
        <v>0</v>
      </c>
      <c r="I111" s="1" t="s">
        <v>40</v>
      </c>
      <c r="J111" s="1">
        <v>7</v>
      </c>
      <c r="K111" s="1">
        <v>10</v>
      </c>
      <c r="L111" s="1">
        <v>7</v>
      </c>
      <c r="M111" s="8">
        <v>0</v>
      </c>
    </row>
    <row r="112" spans="1:13" hidden="1" x14ac:dyDescent="0.25">
      <c r="A112" s="7">
        <v>16</v>
      </c>
      <c r="B112" s="1" t="s">
        <v>34</v>
      </c>
      <c r="C112" s="1">
        <v>4.8</v>
      </c>
      <c r="D112" s="1" t="s">
        <v>41</v>
      </c>
      <c r="E112" s="1">
        <v>7.1</v>
      </c>
      <c r="F112" s="1">
        <v>0.6</v>
      </c>
      <c r="G112" s="1">
        <v>3.36</v>
      </c>
      <c r="H112" s="1">
        <v>0.7</v>
      </c>
      <c r="I112" s="1" t="s">
        <v>39</v>
      </c>
      <c r="J112" s="1">
        <v>7</v>
      </c>
      <c r="K112" s="1">
        <v>6</v>
      </c>
      <c r="L112" s="1">
        <v>9</v>
      </c>
      <c r="M112" s="8">
        <v>0</v>
      </c>
    </row>
    <row r="113" spans="1:13" hidden="1" x14ac:dyDescent="0.25">
      <c r="A113" s="7">
        <v>17</v>
      </c>
      <c r="B113" s="1" t="s">
        <v>37</v>
      </c>
      <c r="C113" s="1">
        <v>5.2</v>
      </c>
      <c r="D113" s="1" t="s">
        <v>41</v>
      </c>
      <c r="E113" s="1">
        <v>6</v>
      </c>
      <c r="F113" s="1">
        <v>0.6</v>
      </c>
      <c r="G113" s="1">
        <v>3.07</v>
      </c>
      <c r="H113" s="1">
        <v>0.6</v>
      </c>
      <c r="I113" s="1" t="s">
        <v>40</v>
      </c>
      <c r="J113" s="1">
        <v>6</v>
      </c>
      <c r="K113" s="1">
        <v>2</v>
      </c>
      <c r="L113" s="1">
        <v>9</v>
      </c>
      <c r="M113" s="8">
        <v>0</v>
      </c>
    </row>
    <row r="114" spans="1:13" hidden="1" x14ac:dyDescent="0.25">
      <c r="A114" s="7">
        <v>13</v>
      </c>
      <c r="B114" s="1" t="s">
        <v>34</v>
      </c>
      <c r="C114" s="1">
        <v>5.7</v>
      </c>
      <c r="D114" s="1" t="s">
        <v>41</v>
      </c>
      <c r="E114" s="1">
        <v>6.6</v>
      </c>
      <c r="F114" s="1">
        <v>2.4</v>
      </c>
      <c r="G114" s="1">
        <v>3.99</v>
      </c>
      <c r="H114" s="1">
        <v>1.7</v>
      </c>
      <c r="I114" s="1" t="s">
        <v>39</v>
      </c>
      <c r="J114" s="1">
        <v>1</v>
      </c>
      <c r="K114" s="1">
        <v>3</v>
      </c>
      <c r="L114" s="1">
        <v>1</v>
      </c>
      <c r="M114" s="8">
        <v>0</v>
      </c>
    </row>
    <row r="115" spans="1:13" hidden="1" x14ac:dyDescent="0.25">
      <c r="A115" s="7">
        <v>15</v>
      </c>
      <c r="B115" s="1" t="s">
        <v>34</v>
      </c>
      <c r="C115" s="1">
        <v>4.5999999999999996</v>
      </c>
      <c r="D115" s="1" t="s">
        <v>38</v>
      </c>
      <c r="E115" s="1">
        <v>5.2</v>
      </c>
      <c r="F115" s="1">
        <v>1.4</v>
      </c>
      <c r="G115" s="1">
        <v>2.98</v>
      </c>
      <c r="H115" s="1">
        <v>1.9</v>
      </c>
      <c r="I115" s="1" t="s">
        <v>36</v>
      </c>
      <c r="J115" s="1">
        <v>1</v>
      </c>
      <c r="K115" s="1">
        <v>4</v>
      </c>
      <c r="L115" s="1">
        <v>5</v>
      </c>
      <c r="M115" s="8">
        <v>0</v>
      </c>
    </row>
    <row r="116" spans="1:13" hidden="1" x14ac:dyDescent="0.25">
      <c r="A116" s="7">
        <v>13</v>
      </c>
      <c r="B116" s="1" t="s">
        <v>34</v>
      </c>
      <c r="C116" s="1">
        <v>4.3</v>
      </c>
      <c r="D116" s="1" t="s">
        <v>38</v>
      </c>
      <c r="E116" s="1">
        <v>7.5</v>
      </c>
      <c r="F116" s="1">
        <v>2.7</v>
      </c>
      <c r="G116" s="1">
        <v>2.29</v>
      </c>
      <c r="H116" s="1">
        <v>0.8</v>
      </c>
      <c r="I116" s="1" t="s">
        <v>39</v>
      </c>
      <c r="J116" s="1">
        <v>1</v>
      </c>
      <c r="K116" s="1">
        <v>10</v>
      </c>
      <c r="L116" s="1">
        <v>1</v>
      </c>
      <c r="M116" s="8">
        <v>0</v>
      </c>
    </row>
    <row r="117" spans="1:13" x14ac:dyDescent="0.25">
      <c r="A117" s="7">
        <v>17</v>
      </c>
      <c r="B117" s="1" t="s">
        <v>37</v>
      </c>
      <c r="C117" s="1">
        <v>4.0999999999999996</v>
      </c>
      <c r="D117" s="1" t="s">
        <v>35</v>
      </c>
      <c r="E117" s="1">
        <v>8.6</v>
      </c>
      <c r="F117" s="1">
        <v>3</v>
      </c>
      <c r="G117" s="1">
        <v>2.77</v>
      </c>
      <c r="H117" s="1">
        <v>0.1</v>
      </c>
      <c r="I117" s="1" t="s">
        <v>40</v>
      </c>
      <c r="J117" s="1">
        <v>3</v>
      </c>
      <c r="K117" s="1">
        <v>6</v>
      </c>
      <c r="L117" s="1">
        <v>1</v>
      </c>
      <c r="M117" s="8">
        <v>0</v>
      </c>
    </row>
    <row r="118" spans="1:13" hidden="1" x14ac:dyDescent="0.25">
      <c r="A118" s="7">
        <v>15</v>
      </c>
      <c r="B118" s="1" t="s">
        <v>34</v>
      </c>
      <c r="C118" s="1">
        <v>6.5</v>
      </c>
      <c r="D118" s="1" t="s">
        <v>41</v>
      </c>
      <c r="E118" s="1">
        <v>8.1</v>
      </c>
      <c r="F118" s="1">
        <v>2</v>
      </c>
      <c r="G118" s="1">
        <v>3.89</v>
      </c>
      <c r="H118" s="1">
        <v>1.3</v>
      </c>
      <c r="I118" s="1" t="s">
        <v>39</v>
      </c>
      <c r="J118" s="1">
        <v>8</v>
      </c>
      <c r="K118" s="1">
        <v>2</v>
      </c>
      <c r="L118" s="1">
        <v>2</v>
      </c>
      <c r="M118" s="8">
        <v>0</v>
      </c>
    </row>
    <row r="119" spans="1:13" hidden="1" x14ac:dyDescent="0.25">
      <c r="A119" s="7">
        <v>19</v>
      </c>
      <c r="B119" s="1" t="s">
        <v>37</v>
      </c>
      <c r="C119" s="1">
        <v>7.8</v>
      </c>
      <c r="D119" s="1" t="s">
        <v>41</v>
      </c>
      <c r="E119" s="1">
        <v>8.8000000000000007</v>
      </c>
      <c r="F119" s="1">
        <v>2.1</v>
      </c>
      <c r="G119" s="1">
        <v>3.75</v>
      </c>
      <c r="H119" s="1">
        <v>1.3</v>
      </c>
      <c r="I119" s="1" t="s">
        <v>39</v>
      </c>
      <c r="J119" s="1">
        <v>10</v>
      </c>
      <c r="K119" s="1">
        <v>9</v>
      </c>
      <c r="L119" s="1">
        <v>6</v>
      </c>
      <c r="M119" s="8">
        <v>0</v>
      </c>
    </row>
    <row r="120" spans="1:13" hidden="1" x14ac:dyDescent="0.25">
      <c r="A120" s="7">
        <v>17</v>
      </c>
      <c r="B120" s="1" t="s">
        <v>34</v>
      </c>
      <c r="C120" s="1">
        <v>6.5</v>
      </c>
      <c r="D120" s="1" t="s">
        <v>35</v>
      </c>
      <c r="E120" s="1">
        <v>4.0999999999999996</v>
      </c>
      <c r="F120" s="1">
        <v>2.7</v>
      </c>
      <c r="G120" s="1">
        <v>3.66</v>
      </c>
      <c r="H120" s="1">
        <v>1.1000000000000001</v>
      </c>
      <c r="I120" s="1" t="s">
        <v>40</v>
      </c>
      <c r="J120" s="1">
        <v>6</v>
      </c>
      <c r="K120" s="1">
        <v>10</v>
      </c>
      <c r="L120" s="1">
        <v>10</v>
      </c>
      <c r="M120" s="8">
        <v>0</v>
      </c>
    </row>
    <row r="121" spans="1:13" hidden="1" x14ac:dyDescent="0.25">
      <c r="A121" s="7">
        <v>17</v>
      </c>
      <c r="B121" s="1" t="s">
        <v>37</v>
      </c>
      <c r="C121" s="1">
        <v>3.2</v>
      </c>
      <c r="D121" s="1" t="s">
        <v>38</v>
      </c>
      <c r="E121" s="1">
        <v>4.2</v>
      </c>
      <c r="F121" s="1">
        <v>0.6</v>
      </c>
      <c r="G121" s="1">
        <v>2.21</v>
      </c>
      <c r="H121" s="1">
        <v>1.4</v>
      </c>
      <c r="I121" s="1" t="s">
        <v>40</v>
      </c>
      <c r="J121" s="1">
        <v>6</v>
      </c>
      <c r="K121" s="1">
        <v>6</v>
      </c>
      <c r="L121" s="1">
        <v>3</v>
      </c>
      <c r="M121" s="8">
        <v>0</v>
      </c>
    </row>
    <row r="122" spans="1:13" hidden="1" x14ac:dyDescent="0.25">
      <c r="A122" s="7">
        <v>13</v>
      </c>
      <c r="B122" s="1" t="s">
        <v>34</v>
      </c>
      <c r="C122" s="1">
        <v>2.4</v>
      </c>
      <c r="D122" s="1" t="s">
        <v>38</v>
      </c>
      <c r="E122" s="1">
        <v>4.0999999999999996</v>
      </c>
      <c r="F122" s="1">
        <v>0.8</v>
      </c>
      <c r="G122" s="1">
        <v>2.79</v>
      </c>
      <c r="H122" s="1">
        <v>1.1000000000000001</v>
      </c>
      <c r="I122" s="1" t="s">
        <v>40</v>
      </c>
      <c r="J122" s="1">
        <v>8</v>
      </c>
      <c r="K122" s="1">
        <v>6</v>
      </c>
      <c r="L122" s="1">
        <v>3</v>
      </c>
      <c r="M122" s="8">
        <v>0</v>
      </c>
    </row>
    <row r="123" spans="1:13" x14ac:dyDescent="0.25">
      <c r="A123" s="7">
        <v>15</v>
      </c>
      <c r="B123" s="1" t="s">
        <v>37</v>
      </c>
      <c r="C123" s="1">
        <v>4</v>
      </c>
      <c r="D123" s="1" t="s">
        <v>35</v>
      </c>
      <c r="E123" s="1">
        <v>8.1</v>
      </c>
      <c r="F123" s="1">
        <v>2.1</v>
      </c>
      <c r="G123" s="1">
        <v>2.0099999999999998</v>
      </c>
      <c r="H123" s="1">
        <v>0.4</v>
      </c>
      <c r="I123" s="1" t="s">
        <v>40</v>
      </c>
      <c r="J123" s="1">
        <v>4</v>
      </c>
      <c r="K123" s="1">
        <v>8</v>
      </c>
      <c r="L123" s="1">
        <v>8</v>
      </c>
      <c r="M123" s="8">
        <v>0</v>
      </c>
    </row>
    <row r="124" spans="1:13" hidden="1" x14ac:dyDescent="0.25">
      <c r="A124" s="7">
        <v>17</v>
      </c>
      <c r="B124" s="1" t="s">
        <v>37</v>
      </c>
      <c r="C124" s="1">
        <v>6</v>
      </c>
      <c r="D124" s="1" t="s">
        <v>41</v>
      </c>
      <c r="E124" s="1">
        <v>8.8000000000000007</v>
      </c>
      <c r="F124" s="1">
        <v>1.3</v>
      </c>
      <c r="G124" s="1">
        <v>4</v>
      </c>
      <c r="H124" s="1">
        <v>0.9</v>
      </c>
      <c r="I124" s="1" t="s">
        <v>40</v>
      </c>
      <c r="J124" s="1">
        <v>8</v>
      </c>
      <c r="K124" s="1">
        <v>10</v>
      </c>
      <c r="L124" s="1">
        <v>7</v>
      </c>
      <c r="M124" s="8">
        <v>0</v>
      </c>
    </row>
    <row r="125" spans="1:13" hidden="1" x14ac:dyDescent="0.25">
      <c r="A125" s="7">
        <v>18</v>
      </c>
      <c r="B125" s="1" t="s">
        <v>34</v>
      </c>
      <c r="C125" s="1">
        <v>1.2</v>
      </c>
      <c r="D125" s="1" t="s">
        <v>38</v>
      </c>
      <c r="E125" s="1">
        <v>8</v>
      </c>
      <c r="F125" s="1">
        <v>1.7</v>
      </c>
      <c r="G125" s="1">
        <v>3.12</v>
      </c>
      <c r="H125" s="1">
        <v>0.1</v>
      </c>
      <c r="I125" s="1" t="s">
        <v>36</v>
      </c>
      <c r="J125" s="1">
        <v>6</v>
      </c>
      <c r="K125" s="1">
        <v>4</v>
      </c>
      <c r="L125" s="1">
        <v>2</v>
      </c>
      <c r="M125" s="8">
        <v>0</v>
      </c>
    </row>
    <row r="126" spans="1:13" hidden="1" x14ac:dyDescent="0.25">
      <c r="A126" s="7">
        <v>16</v>
      </c>
      <c r="B126" s="1" t="s">
        <v>34</v>
      </c>
      <c r="C126" s="1">
        <v>5.7</v>
      </c>
      <c r="D126" s="1" t="s">
        <v>41</v>
      </c>
      <c r="E126" s="1">
        <v>5.8</v>
      </c>
      <c r="F126" s="1">
        <v>2.8</v>
      </c>
      <c r="G126" s="1">
        <v>2.17</v>
      </c>
      <c r="H126" s="1">
        <v>0.5</v>
      </c>
      <c r="I126" s="1" t="s">
        <v>40</v>
      </c>
      <c r="J126" s="1">
        <v>3</v>
      </c>
      <c r="K126" s="1">
        <v>9</v>
      </c>
      <c r="L126" s="1">
        <v>2</v>
      </c>
      <c r="M126" s="8">
        <v>0</v>
      </c>
    </row>
    <row r="127" spans="1:13" hidden="1" x14ac:dyDescent="0.25">
      <c r="A127" s="7">
        <v>19</v>
      </c>
      <c r="B127" s="1" t="s">
        <v>34</v>
      </c>
      <c r="C127" s="1">
        <v>6.5</v>
      </c>
      <c r="D127" s="1" t="s">
        <v>41</v>
      </c>
      <c r="E127" s="1">
        <v>8.1</v>
      </c>
      <c r="F127" s="1">
        <v>2.2999999999999998</v>
      </c>
      <c r="G127" s="1">
        <v>2.21</v>
      </c>
      <c r="H127" s="1">
        <v>0.4</v>
      </c>
      <c r="I127" s="1" t="s">
        <v>39</v>
      </c>
      <c r="J127" s="1">
        <v>8</v>
      </c>
      <c r="K127" s="1">
        <v>8</v>
      </c>
      <c r="L127" s="1">
        <v>6</v>
      </c>
      <c r="M127" s="8">
        <v>0</v>
      </c>
    </row>
    <row r="128" spans="1:13" hidden="1" x14ac:dyDescent="0.25">
      <c r="A128" s="7">
        <v>16</v>
      </c>
      <c r="B128" s="1" t="s">
        <v>34</v>
      </c>
      <c r="C128" s="1">
        <v>6.6</v>
      </c>
      <c r="D128" s="1" t="s">
        <v>35</v>
      </c>
      <c r="E128" s="1">
        <v>5.6</v>
      </c>
      <c r="F128" s="1">
        <v>0.8</v>
      </c>
      <c r="G128" s="1">
        <v>3.48</v>
      </c>
      <c r="H128" s="1">
        <v>1.7</v>
      </c>
      <c r="I128" s="1" t="s">
        <v>40</v>
      </c>
      <c r="J128" s="1">
        <v>4</v>
      </c>
      <c r="K128" s="1">
        <v>3</v>
      </c>
      <c r="L128" s="1">
        <v>4</v>
      </c>
      <c r="M128" s="8">
        <v>0</v>
      </c>
    </row>
    <row r="129" spans="1:13" hidden="1" x14ac:dyDescent="0.25">
      <c r="A129" s="7">
        <v>13</v>
      </c>
      <c r="B129" s="1" t="s">
        <v>34</v>
      </c>
      <c r="C129" s="1">
        <v>6</v>
      </c>
      <c r="D129" s="1" t="s">
        <v>38</v>
      </c>
      <c r="E129" s="1">
        <v>7.2</v>
      </c>
      <c r="F129" s="1">
        <v>1.5</v>
      </c>
      <c r="G129" s="1">
        <v>2.36</v>
      </c>
      <c r="H129" s="1">
        <v>0.2</v>
      </c>
      <c r="I129" s="1" t="s">
        <v>36</v>
      </c>
      <c r="J129" s="1">
        <v>1</v>
      </c>
      <c r="K129" s="1">
        <v>3</v>
      </c>
      <c r="L129" s="1">
        <v>4</v>
      </c>
      <c r="M129" s="8">
        <v>0</v>
      </c>
    </row>
    <row r="130" spans="1:13" hidden="1" x14ac:dyDescent="0.25">
      <c r="A130" s="7">
        <v>18</v>
      </c>
      <c r="B130" s="1" t="s">
        <v>37</v>
      </c>
      <c r="C130" s="1">
        <v>1.1000000000000001</v>
      </c>
      <c r="D130" s="1" t="s">
        <v>41</v>
      </c>
      <c r="E130" s="1">
        <v>8</v>
      </c>
      <c r="F130" s="1">
        <v>2.7</v>
      </c>
      <c r="G130" s="1">
        <v>2.04</v>
      </c>
      <c r="H130" s="1">
        <v>0.1</v>
      </c>
      <c r="I130" s="1" t="s">
        <v>36</v>
      </c>
      <c r="J130" s="1">
        <v>7</v>
      </c>
      <c r="K130" s="1">
        <v>10</v>
      </c>
      <c r="L130" s="1">
        <v>2</v>
      </c>
      <c r="M130" s="8">
        <v>0</v>
      </c>
    </row>
    <row r="131" spans="1:13" x14ac:dyDescent="0.25">
      <c r="A131" s="7">
        <v>13</v>
      </c>
      <c r="B131" s="1" t="s">
        <v>37</v>
      </c>
      <c r="C131" s="1">
        <v>3.8</v>
      </c>
      <c r="D131" s="1" t="s">
        <v>35</v>
      </c>
      <c r="E131" s="1">
        <v>7.9</v>
      </c>
      <c r="F131" s="1">
        <v>1.3</v>
      </c>
      <c r="G131" s="1">
        <v>3.97</v>
      </c>
      <c r="H131" s="1">
        <v>0.2</v>
      </c>
      <c r="I131" s="1" t="s">
        <v>40</v>
      </c>
      <c r="J131" s="1">
        <v>7</v>
      </c>
      <c r="K131" s="1">
        <v>10</v>
      </c>
      <c r="L131" s="1">
        <v>9</v>
      </c>
      <c r="M131" s="8">
        <v>0</v>
      </c>
    </row>
    <row r="132" spans="1:13" hidden="1" x14ac:dyDescent="0.25">
      <c r="A132" s="7">
        <v>13</v>
      </c>
      <c r="B132" s="1" t="s">
        <v>37</v>
      </c>
      <c r="C132" s="1">
        <v>4.7</v>
      </c>
      <c r="D132" s="1" t="s">
        <v>41</v>
      </c>
      <c r="E132" s="1">
        <v>6.8</v>
      </c>
      <c r="F132" s="1">
        <v>1.7</v>
      </c>
      <c r="G132" s="1">
        <v>3.27</v>
      </c>
      <c r="H132" s="1">
        <v>1.4</v>
      </c>
      <c r="I132" s="1" t="s">
        <v>36</v>
      </c>
      <c r="J132" s="1">
        <v>4</v>
      </c>
      <c r="K132" s="1">
        <v>2</v>
      </c>
      <c r="L132" s="1">
        <v>4</v>
      </c>
      <c r="M132" s="8">
        <v>0</v>
      </c>
    </row>
    <row r="133" spans="1:13" hidden="1" x14ac:dyDescent="0.25">
      <c r="A133" s="7">
        <v>15</v>
      </c>
      <c r="B133" s="1" t="s">
        <v>34</v>
      </c>
      <c r="C133" s="1">
        <v>7.4</v>
      </c>
      <c r="D133" s="1" t="s">
        <v>38</v>
      </c>
      <c r="E133" s="1">
        <v>6.3</v>
      </c>
      <c r="F133" s="1">
        <v>1.3</v>
      </c>
      <c r="G133" s="1">
        <v>3.47</v>
      </c>
      <c r="H133" s="1">
        <v>1.2</v>
      </c>
      <c r="I133" s="1" t="s">
        <v>40</v>
      </c>
      <c r="J133" s="1">
        <v>1</v>
      </c>
      <c r="K133" s="1">
        <v>3</v>
      </c>
      <c r="L133" s="1">
        <v>9</v>
      </c>
      <c r="M133" s="8">
        <v>0</v>
      </c>
    </row>
    <row r="134" spans="1:13" hidden="1" x14ac:dyDescent="0.25">
      <c r="A134" s="7">
        <v>17</v>
      </c>
      <c r="B134" s="1" t="s">
        <v>34</v>
      </c>
      <c r="C134" s="1">
        <v>3.9</v>
      </c>
      <c r="D134" s="1" t="s">
        <v>35</v>
      </c>
      <c r="E134" s="1">
        <v>7.1</v>
      </c>
      <c r="F134" s="1">
        <v>2.4</v>
      </c>
      <c r="G134" s="1">
        <v>3.82</v>
      </c>
      <c r="H134" s="1">
        <v>0.8</v>
      </c>
      <c r="I134" s="1" t="s">
        <v>39</v>
      </c>
      <c r="J134" s="1">
        <v>3</v>
      </c>
      <c r="K134" s="1">
        <v>6</v>
      </c>
      <c r="L134" s="1">
        <v>10</v>
      </c>
      <c r="M134" s="8">
        <v>0</v>
      </c>
    </row>
    <row r="135" spans="1:13" hidden="1" x14ac:dyDescent="0.25">
      <c r="A135" s="7">
        <v>18</v>
      </c>
      <c r="B135" s="1" t="s">
        <v>34</v>
      </c>
      <c r="C135" s="1">
        <v>3.1</v>
      </c>
      <c r="D135" s="1" t="s">
        <v>35</v>
      </c>
      <c r="E135" s="1">
        <v>5.7</v>
      </c>
      <c r="F135" s="1">
        <v>2.9</v>
      </c>
      <c r="G135" s="1">
        <v>3.1</v>
      </c>
      <c r="H135" s="1">
        <v>0.6</v>
      </c>
      <c r="I135" s="1" t="s">
        <v>40</v>
      </c>
      <c r="J135" s="1">
        <v>9</v>
      </c>
      <c r="K135" s="1">
        <v>4</v>
      </c>
      <c r="L135" s="1">
        <v>2</v>
      </c>
      <c r="M135" s="8">
        <v>0</v>
      </c>
    </row>
    <row r="136" spans="1:13" hidden="1" x14ac:dyDescent="0.25">
      <c r="A136" s="7">
        <v>16</v>
      </c>
      <c r="B136" s="1" t="s">
        <v>37</v>
      </c>
      <c r="C136" s="1">
        <v>2.6</v>
      </c>
      <c r="D136" s="1" t="s">
        <v>38</v>
      </c>
      <c r="E136" s="1">
        <v>8.8000000000000007</v>
      </c>
      <c r="F136" s="1">
        <v>1.7</v>
      </c>
      <c r="G136" s="1">
        <v>2.39</v>
      </c>
      <c r="H136" s="1">
        <v>1</v>
      </c>
      <c r="I136" s="1" t="s">
        <v>40</v>
      </c>
      <c r="J136" s="1">
        <v>5</v>
      </c>
      <c r="K136" s="1">
        <v>2</v>
      </c>
      <c r="L136" s="1">
        <v>6</v>
      </c>
      <c r="M136" s="8">
        <v>0</v>
      </c>
    </row>
    <row r="137" spans="1:13" hidden="1" x14ac:dyDescent="0.25">
      <c r="A137" s="7">
        <v>13</v>
      </c>
      <c r="B137" s="1" t="s">
        <v>34</v>
      </c>
      <c r="C137" s="1">
        <v>5</v>
      </c>
      <c r="D137" s="1" t="s">
        <v>38</v>
      </c>
      <c r="E137" s="1">
        <v>6.9</v>
      </c>
      <c r="F137" s="1">
        <v>0.6</v>
      </c>
      <c r="G137" s="1">
        <v>3.03</v>
      </c>
      <c r="H137" s="1">
        <v>0.8</v>
      </c>
      <c r="I137" s="1" t="s">
        <v>36</v>
      </c>
      <c r="J137" s="1">
        <v>9</v>
      </c>
      <c r="K137" s="1">
        <v>3</v>
      </c>
      <c r="L137" s="1">
        <v>8</v>
      </c>
      <c r="M137" s="8">
        <v>0</v>
      </c>
    </row>
    <row r="138" spans="1:13" hidden="1" x14ac:dyDescent="0.25">
      <c r="A138" s="7">
        <v>18</v>
      </c>
      <c r="B138" s="1" t="s">
        <v>34</v>
      </c>
      <c r="C138" s="1">
        <v>4.5</v>
      </c>
      <c r="D138" s="1" t="s">
        <v>35</v>
      </c>
      <c r="E138" s="1">
        <v>8.1</v>
      </c>
      <c r="F138" s="1">
        <v>1.6</v>
      </c>
      <c r="G138" s="1">
        <v>3.72</v>
      </c>
      <c r="H138" s="1">
        <v>1.2</v>
      </c>
      <c r="I138" s="1" t="s">
        <v>36</v>
      </c>
      <c r="J138" s="1">
        <v>1</v>
      </c>
      <c r="K138" s="1">
        <v>2</v>
      </c>
      <c r="L138" s="1">
        <v>1</v>
      </c>
      <c r="M138" s="8">
        <v>0</v>
      </c>
    </row>
    <row r="139" spans="1:13" hidden="1" x14ac:dyDescent="0.25">
      <c r="A139" s="7">
        <v>17</v>
      </c>
      <c r="B139" s="1" t="s">
        <v>34</v>
      </c>
      <c r="C139" s="1">
        <v>2.1</v>
      </c>
      <c r="D139" s="1" t="s">
        <v>38</v>
      </c>
      <c r="E139" s="1">
        <v>4.7</v>
      </c>
      <c r="F139" s="1">
        <v>2</v>
      </c>
      <c r="G139" s="1">
        <v>2.99</v>
      </c>
      <c r="H139" s="1">
        <v>1.9</v>
      </c>
      <c r="I139" s="1" t="s">
        <v>36</v>
      </c>
      <c r="J139" s="1">
        <v>5</v>
      </c>
      <c r="K139" s="1">
        <v>1</v>
      </c>
      <c r="L139" s="1">
        <v>8</v>
      </c>
      <c r="M139" s="8">
        <v>0</v>
      </c>
    </row>
    <row r="140" spans="1:13" x14ac:dyDescent="0.25">
      <c r="A140" s="7">
        <v>14</v>
      </c>
      <c r="B140" s="1" t="s">
        <v>37</v>
      </c>
      <c r="C140" s="1">
        <v>6.4</v>
      </c>
      <c r="D140" s="1" t="s">
        <v>35</v>
      </c>
      <c r="E140" s="1">
        <v>6</v>
      </c>
      <c r="F140" s="1">
        <v>1.1000000000000001</v>
      </c>
      <c r="G140" s="1">
        <v>3.81</v>
      </c>
      <c r="H140" s="1">
        <v>0.9</v>
      </c>
      <c r="I140" s="1" t="s">
        <v>40</v>
      </c>
      <c r="J140" s="1">
        <v>8</v>
      </c>
      <c r="K140" s="1">
        <v>2</v>
      </c>
      <c r="L140" s="1">
        <v>3</v>
      </c>
      <c r="M140" s="8">
        <v>0</v>
      </c>
    </row>
    <row r="141" spans="1:13" hidden="1" x14ac:dyDescent="0.25">
      <c r="A141" s="7">
        <v>15</v>
      </c>
      <c r="B141" s="1" t="s">
        <v>37</v>
      </c>
      <c r="C141" s="1">
        <v>2.2999999999999998</v>
      </c>
      <c r="D141" s="1" t="s">
        <v>38</v>
      </c>
      <c r="E141" s="1">
        <v>6.5</v>
      </c>
      <c r="F141" s="1">
        <v>2.6</v>
      </c>
      <c r="G141" s="1">
        <v>3.18</v>
      </c>
      <c r="H141" s="1">
        <v>0.1</v>
      </c>
      <c r="I141" s="1" t="s">
        <v>36</v>
      </c>
      <c r="J141" s="1">
        <v>1</v>
      </c>
      <c r="K141" s="1">
        <v>8</v>
      </c>
      <c r="L141" s="1">
        <v>4</v>
      </c>
      <c r="M141" s="8">
        <v>0</v>
      </c>
    </row>
    <row r="142" spans="1:13" hidden="1" x14ac:dyDescent="0.25">
      <c r="A142" s="7">
        <v>13</v>
      </c>
      <c r="B142" s="1" t="s">
        <v>37</v>
      </c>
      <c r="C142" s="1">
        <v>4.4000000000000004</v>
      </c>
      <c r="D142" s="1" t="s">
        <v>38</v>
      </c>
      <c r="E142" s="1">
        <v>8.8000000000000007</v>
      </c>
      <c r="F142" s="1">
        <v>1.3</v>
      </c>
      <c r="G142" s="1">
        <v>2.69</v>
      </c>
      <c r="H142" s="1">
        <v>0.4</v>
      </c>
      <c r="I142" s="1" t="s">
        <v>36</v>
      </c>
      <c r="J142" s="1">
        <v>3</v>
      </c>
      <c r="K142" s="1">
        <v>1</v>
      </c>
      <c r="L142" s="1">
        <v>7</v>
      </c>
      <c r="M142" s="8">
        <v>0</v>
      </c>
    </row>
    <row r="143" spans="1:13" hidden="1" x14ac:dyDescent="0.25">
      <c r="A143" s="7">
        <v>19</v>
      </c>
      <c r="B143" s="1" t="s">
        <v>34</v>
      </c>
      <c r="C143" s="1">
        <v>2.2999999999999998</v>
      </c>
      <c r="D143" s="1" t="s">
        <v>35</v>
      </c>
      <c r="E143" s="1">
        <v>6.9</v>
      </c>
      <c r="F143" s="1">
        <v>2.2999999999999998</v>
      </c>
      <c r="G143" s="1">
        <v>2.17</v>
      </c>
      <c r="H143" s="1">
        <v>1.6</v>
      </c>
      <c r="I143" s="1" t="s">
        <v>40</v>
      </c>
      <c r="J143" s="1">
        <v>3</v>
      </c>
      <c r="K143" s="1">
        <v>6</v>
      </c>
      <c r="L143" s="1">
        <v>10</v>
      </c>
      <c r="M143" s="8">
        <v>0</v>
      </c>
    </row>
    <row r="144" spans="1:13" hidden="1" x14ac:dyDescent="0.25">
      <c r="A144" s="7">
        <v>13</v>
      </c>
      <c r="B144" s="1" t="s">
        <v>34</v>
      </c>
      <c r="C144" s="1">
        <v>4.3</v>
      </c>
      <c r="D144" s="1" t="s">
        <v>35</v>
      </c>
      <c r="E144" s="1">
        <v>4.4000000000000004</v>
      </c>
      <c r="F144" s="1">
        <v>0.7</v>
      </c>
      <c r="G144" s="1">
        <v>3.19</v>
      </c>
      <c r="H144" s="1">
        <v>0.3</v>
      </c>
      <c r="I144" s="1" t="s">
        <v>36</v>
      </c>
      <c r="J144" s="1">
        <v>6</v>
      </c>
      <c r="K144" s="1">
        <v>2</v>
      </c>
      <c r="L144" s="1">
        <v>6</v>
      </c>
      <c r="M144" s="8">
        <v>0</v>
      </c>
    </row>
    <row r="145" spans="1:13" hidden="1" x14ac:dyDescent="0.25">
      <c r="A145" s="7">
        <v>18</v>
      </c>
      <c r="B145" s="1" t="s">
        <v>37</v>
      </c>
      <c r="C145" s="1">
        <v>3.9</v>
      </c>
      <c r="D145" s="1" t="s">
        <v>38</v>
      </c>
      <c r="E145" s="1">
        <v>5.2</v>
      </c>
      <c r="F145" s="1">
        <v>1.8</v>
      </c>
      <c r="G145" s="1">
        <v>2.41</v>
      </c>
      <c r="H145" s="1">
        <v>0.6</v>
      </c>
      <c r="I145" s="1" t="s">
        <v>39</v>
      </c>
      <c r="J145" s="1">
        <v>9</v>
      </c>
      <c r="K145" s="1">
        <v>5</v>
      </c>
      <c r="L145" s="1">
        <v>5</v>
      </c>
      <c r="M145" s="8">
        <v>0</v>
      </c>
    </row>
    <row r="146" spans="1:13" hidden="1" x14ac:dyDescent="0.25">
      <c r="A146" s="7">
        <v>18</v>
      </c>
      <c r="B146" s="1" t="s">
        <v>34</v>
      </c>
      <c r="C146" s="1">
        <v>2.9</v>
      </c>
      <c r="D146" s="1" t="s">
        <v>38</v>
      </c>
      <c r="E146" s="1">
        <v>7.5</v>
      </c>
      <c r="F146" s="1">
        <v>0.9</v>
      </c>
      <c r="G146" s="1">
        <v>2.62</v>
      </c>
      <c r="H146" s="1">
        <v>2</v>
      </c>
      <c r="I146" s="1" t="s">
        <v>39</v>
      </c>
      <c r="J146" s="1">
        <v>3</v>
      </c>
      <c r="K146" s="1">
        <v>1</v>
      </c>
      <c r="L146" s="1">
        <v>9</v>
      </c>
      <c r="M146" s="8">
        <v>0</v>
      </c>
    </row>
    <row r="147" spans="1:13" hidden="1" x14ac:dyDescent="0.25">
      <c r="A147" s="7">
        <v>14</v>
      </c>
      <c r="B147" s="1" t="s">
        <v>34</v>
      </c>
      <c r="C147" s="1">
        <v>2.1</v>
      </c>
      <c r="D147" s="1" t="s">
        <v>35</v>
      </c>
      <c r="E147" s="1">
        <v>8.5</v>
      </c>
      <c r="F147" s="1">
        <v>1.1000000000000001</v>
      </c>
      <c r="G147" s="1">
        <v>3.03</v>
      </c>
      <c r="H147" s="1">
        <v>1.6</v>
      </c>
      <c r="I147" s="1" t="s">
        <v>40</v>
      </c>
      <c r="J147" s="1">
        <v>5</v>
      </c>
      <c r="K147" s="1">
        <v>6</v>
      </c>
      <c r="L147" s="1">
        <v>7</v>
      </c>
      <c r="M147" s="8">
        <v>0</v>
      </c>
    </row>
    <row r="148" spans="1:13" hidden="1" x14ac:dyDescent="0.25">
      <c r="A148" s="7">
        <v>14</v>
      </c>
      <c r="B148" s="1" t="s">
        <v>34</v>
      </c>
      <c r="C148" s="1">
        <v>2.1</v>
      </c>
      <c r="D148" s="1" t="s">
        <v>38</v>
      </c>
      <c r="E148" s="1">
        <v>5</v>
      </c>
      <c r="F148" s="1">
        <v>1.4</v>
      </c>
      <c r="G148" s="1">
        <v>2.96</v>
      </c>
      <c r="H148" s="1">
        <v>1.1000000000000001</v>
      </c>
      <c r="I148" s="1" t="s">
        <v>36</v>
      </c>
      <c r="J148" s="1">
        <v>7</v>
      </c>
      <c r="K148" s="1">
        <v>1</v>
      </c>
      <c r="L148" s="1">
        <v>9</v>
      </c>
      <c r="M148" s="8">
        <v>0</v>
      </c>
    </row>
    <row r="149" spans="1:13" hidden="1" x14ac:dyDescent="0.25">
      <c r="A149" s="7">
        <v>16</v>
      </c>
      <c r="B149" s="1" t="s">
        <v>34</v>
      </c>
      <c r="C149" s="1">
        <v>3.8</v>
      </c>
      <c r="D149" s="1" t="s">
        <v>38</v>
      </c>
      <c r="E149" s="1">
        <v>5.7</v>
      </c>
      <c r="F149" s="1">
        <v>1.3</v>
      </c>
      <c r="G149" s="1">
        <v>3.84</v>
      </c>
      <c r="H149" s="1">
        <v>1.6</v>
      </c>
      <c r="I149" s="1" t="s">
        <v>40</v>
      </c>
      <c r="J149" s="1">
        <v>3</v>
      </c>
      <c r="K149" s="1">
        <v>4</v>
      </c>
      <c r="L149" s="1">
        <v>10</v>
      </c>
      <c r="M149" s="8">
        <v>0</v>
      </c>
    </row>
    <row r="150" spans="1:13" hidden="1" x14ac:dyDescent="0.25">
      <c r="A150" s="7">
        <v>15</v>
      </c>
      <c r="B150" s="1" t="s">
        <v>37</v>
      </c>
      <c r="C150" s="1">
        <v>1.1000000000000001</v>
      </c>
      <c r="D150" s="1" t="s">
        <v>38</v>
      </c>
      <c r="E150" s="1">
        <v>8.1999999999999993</v>
      </c>
      <c r="F150" s="1">
        <v>0.7</v>
      </c>
      <c r="G150" s="1">
        <v>2.94</v>
      </c>
      <c r="H150" s="1">
        <v>0.7</v>
      </c>
      <c r="I150" s="1" t="s">
        <v>39</v>
      </c>
      <c r="J150" s="1">
        <v>10</v>
      </c>
      <c r="K150" s="1">
        <v>7</v>
      </c>
      <c r="L150" s="1">
        <v>9</v>
      </c>
      <c r="M150" s="8">
        <v>0</v>
      </c>
    </row>
    <row r="151" spans="1:13" hidden="1" x14ac:dyDescent="0.25">
      <c r="A151" s="7">
        <v>14</v>
      </c>
      <c r="B151" s="1" t="s">
        <v>34</v>
      </c>
      <c r="C151" s="1">
        <v>2.5</v>
      </c>
      <c r="D151" s="1" t="s">
        <v>41</v>
      </c>
      <c r="E151" s="1">
        <v>5.3</v>
      </c>
      <c r="F151" s="1">
        <v>2.4</v>
      </c>
      <c r="G151" s="1">
        <v>3.87</v>
      </c>
      <c r="H151" s="1">
        <v>1.3</v>
      </c>
      <c r="I151" s="1" t="s">
        <v>39</v>
      </c>
      <c r="J151" s="1">
        <v>10</v>
      </c>
      <c r="K151" s="1">
        <v>9</v>
      </c>
      <c r="L151" s="1">
        <v>6</v>
      </c>
      <c r="M151" s="8">
        <v>0</v>
      </c>
    </row>
    <row r="152" spans="1:13" x14ac:dyDescent="0.25">
      <c r="A152" s="7">
        <v>19</v>
      </c>
      <c r="B152" s="1" t="s">
        <v>37</v>
      </c>
      <c r="C152" s="1">
        <v>4.0999999999999996</v>
      </c>
      <c r="D152" s="1" t="s">
        <v>35</v>
      </c>
      <c r="E152" s="1">
        <v>6.4</v>
      </c>
      <c r="F152" s="1">
        <v>0.9</v>
      </c>
      <c r="G152" s="1">
        <v>2.4700000000000002</v>
      </c>
      <c r="H152" s="1">
        <v>1.2</v>
      </c>
      <c r="I152" s="1" t="s">
        <v>39</v>
      </c>
      <c r="J152" s="1">
        <v>7</v>
      </c>
      <c r="K152" s="1">
        <v>3</v>
      </c>
      <c r="L152" s="1">
        <v>4</v>
      </c>
      <c r="M152" s="8">
        <v>0</v>
      </c>
    </row>
    <row r="153" spans="1:13" hidden="1" x14ac:dyDescent="0.25">
      <c r="A153" s="7">
        <v>16</v>
      </c>
      <c r="B153" s="1" t="s">
        <v>34</v>
      </c>
      <c r="C153" s="1">
        <v>3</v>
      </c>
      <c r="D153" s="1" t="s">
        <v>35</v>
      </c>
      <c r="E153" s="1">
        <v>8.6</v>
      </c>
      <c r="F153" s="1">
        <v>1.5</v>
      </c>
      <c r="G153" s="1">
        <v>2.84</v>
      </c>
      <c r="H153" s="1">
        <v>0.3</v>
      </c>
      <c r="I153" s="1" t="s">
        <v>39</v>
      </c>
      <c r="J153" s="1">
        <v>6</v>
      </c>
      <c r="K153" s="1">
        <v>4</v>
      </c>
      <c r="L153" s="1">
        <v>3</v>
      </c>
      <c r="M153" s="8">
        <v>0</v>
      </c>
    </row>
    <row r="154" spans="1:13" x14ac:dyDescent="0.25">
      <c r="A154" s="7">
        <v>13</v>
      </c>
      <c r="B154" s="1" t="s">
        <v>37</v>
      </c>
      <c r="C154" s="1">
        <v>3.9</v>
      </c>
      <c r="D154" s="1" t="s">
        <v>35</v>
      </c>
      <c r="E154" s="1">
        <v>5</v>
      </c>
      <c r="F154" s="1">
        <v>0.7</v>
      </c>
      <c r="G154" s="1">
        <v>2.98</v>
      </c>
      <c r="H154" s="1">
        <v>0.3</v>
      </c>
      <c r="I154" s="1" t="s">
        <v>40</v>
      </c>
      <c r="J154" s="1">
        <v>10</v>
      </c>
      <c r="K154" s="1">
        <v>8</v>
      </c>
      <c r="L154" s="1">
        <v>3</v>
      </c>
      <c r="M154" s="8">
        <v>0</v>
      </c>
    </row>
    <row r="155" spans="1:13" hidden="1" x14ac:dyDescent="0.25">
      <c r="A155" s="7">
        <v>13</v>
      </c>
      <c r="B155" s="1" t="s">
        <v>34</v>
      </c>
      <c r="C155" s="1">
        <v>7</v>
      </c>
      <c r="D155" s="1" t="s">
        <v>38</v>
      </c>
      <c r="E155" s="1">
        <v>8.9</v>
      </c>
      <c r="F155" s="1">
        <v>0.6</v>
      </c>
      <c r="G155" s="1">
        <v>2.7</v>
      </c>
      <c r="H155" s="1">
        <v>1.8</v>
      </c>
      <c r="I155" s="1" t="s">
        <v>40</v>
      </c>
      <c r="J155" s="1">
        <v>5</v>
      </c>
      <c r="K155" s="1">
        <v>4</v>
      </c>
      <c r="L155" s="1">
        <v>1</v>
      </c>
      <c r="M155" s="8">
        <v>0</v>
      </c>
    </row>
    <row r="156" spans="1:13" hidden="1" x14ac:dyDescent="0.25">
      <c r="A156" s="7">
        <v>16</v>
      </c>
      <c r="B156" s="1" t="s">
        <v>34</v>
      </c>
      <c r="C156" s="1">
        <v>3.6</v>
      </c>
      <c r="D156" s="1" t="s">
        <v>41</v>
      </c>
      <c r="E156" s="1">
        <v>8.9</v>
      </c>
      <c r="F156" s="1">
        <v>1.9</v>
      </c>
      <c r="G156" s="1">
        <v>2.11</v>
      </c>
      <c r="H156" s="1">
        <v>1.7</v>
      </c>
      <c r="I156" s="1" t="s">
        <v>36</v>
      </c>
      <c r="J156" s="1">
        <v>9</v>
      </c>
      <c r="K156" s="1">
        <v>5</v>
      </c>
      <c r="L156" s="1">
        <v>2</v>
      </c>
      <c r="M156" s="8">
        <v>0</v>
      </c>
    </row>
    <row r="157" spans="1:13" hidden="1" x14ac:dyDescent="0.25">
      <c r="A157" s="7">
        <v>15</v>
      </c>
      <c r="B157" s="1" t="s">
        <v>34</v>
      </c>
      <c r="C157" s="1">
        <v>7.6</v>
      </c>
      <c r="D157" s="1" t="s">
        <v>35</v>
      </c>
      <c r="E157" s="1">
        <v>7.6</v>
      </c>
      <c r="F157" s="1">
        <v>2.7</v>
      </c>
      <c r="G157" s="1">
        <v>2.36</v>
      </c>
      <c r="H157" s="1">
        <v>1.2</v>
      </c>
      <c r="I157" s="1" t="s">
        <v>40</v>
      </c>
      <c r="J157" s="1">
        <v>5</v>
      </c>
      <c r="K157" s="1">
        <v>10</v>
      </c>
      <c r="L157" s="1">
        <v>3</v>
      </c>
      <c r="M157" s="8">
        <v>0</v>
      </c>
    </row>
    <row r="158" spans="1:13" hidden="1" x14ac:dyDescent="0.25">
      <c r="A158" s="7">
        <v>19</v>
      </c>
      <c r="B158" s="1" t="s">
        <v>34</v>
      </c>
      <c r="C158" s="1">
        <v>1.3</v>
      </c>
      <c r="D158" s="1" t="s">
        <v>35</v>
      </c>
      <c r="E158" s="1">
        <v>4.5</v>
      </c>
      <c r="F158" s="1">
        <v>0.7</v>
      </c>
      <c r="G158" s="1">
        <v>2.5099999999999998</v>
      </c>
      <c r="H158" s="1">
        <v>0.8</v>
      </c>
      <c r="I158" s="1" t="s">
        <v>36</v>
      </c>
      <c r="J158" s="1">
        <v>10</v>
      </c>
      <c r="K158" s="1">
        <v>9</v>
      </c>
      <c r="L158" s="1">
        <v>7</v>
      </c>
      <c r="M158" s="8">
        <v>0</v>
      </c>
    </row>
    <row r="159" spans="1:13" hidden="1" x14ac:dyDescent="0.25">
      <c r="A159" s="7">
        <v>17</v>
      </c>
      <c r="B159" s="1" t="s">
        <v>37</v>
      </c>
      <c r="C159" s="1">
        <v>2.1</v>
      </c>
      <c r="D159" s="1" t="s">
        <v>41</v>
      </c>
      <c r="E159" s="1">
        <v>7.8</v>
      </c>
      <c r="F159" s="1">
        <v>2.1</v>
      </c>
      <c r="G159" s="1">
        <v>3.29</v>
      </c>
      <c r="H159" s="1">
        <v>1.5</v>
      </c>
      <c r="I159" s="1" t="s">
        <v>36</v>
      </c>
      <c r="J159" s="1">
        <v>8</v>
      </c>
      <c r="K159" s="1">
        <v>1</v>
      </c>
      <c r="L159" s="1">
        <v>7</v>
      </c>
      <c r="M159" s="8">
        <v>0</v>
      </c>
    </row>
    <row r="160" spans="1:13" hidden="1" x14ac:dyDescent="0.25">
      <c r="A160" s="7">
        <v>15</v>
      </c>
      <c r="B160" s="1" t="s">
        <v>37</v>
      </c>
      <c r="C160" s="1">
        <v>2.7</v>
      </c>
      <c r="D160" s="1" t="s">
        <v>41</v>
      </c>
      <c r="E160" s="1">
        <v>8.8000000000000007</v>
      </c>
      <c r="F160" s="1">
        <v>1.9</v>
      </c>
      <c r="G160" s="1">
        <v>2.14</v>
      </c>
      <c r="H160" s="1">
        <v>0.4</v>
      </c>
      <c r="I160" s="1" t="s">
        <v>39</v>
      </c>
      <c r="J160" s="1">
        <v>8</v>
      </c>
      <c r="K160" s="1">
        <v>10</v>
      </c>
      <c r="L160" s="1">
        <v>3</v>
      </c>
      <c r="M160" s="8">
        <v>0</v>
      </c>
    </row>
    <row r="161" spans="1:13" hidden="1" x14ac:dyDescent="0.25">
      <c r="A161" s="7">
        <v>13</v>
      </c>
      <c r="B161" s="1" t="s">
        <v>34</v>
      </c>
      <c r="C161" s="1">
        <v>7.5</v>
      </c>
      <c r="D161" s="1" t="s">
        <v>41</v>
      </c>
      <c r="E161" s="1">
        <v>8</v>
      </c>
      <c r="F161" s="1">
        <v>2</v>
      </c>
      <c r="G161" s="1">
        <v>3.25</v>
      </c>
      <c r="H161" s="1">
        <v>0.7</v>
      </c>
      <c r="I161" s="1" t="s">
        <v>40</v>
      </c>
      <c r="J161" s="1">
        <v>9</v>
      </c>
      <c r="K161" s="1">
        <v>10</v>
      </c>
      <c r="L161" s="1">
        <v>2</v>
      </c>
      <c r="M161" s="8">
        <v>0</v>
      </c>
    </row>
    <row r="162" spans="1:13" hidden="1" x14ac:dyDescent="0.25">
      <c r="A162" s="7">
        <v>16</v>
      </c>
      <c r="B162" s="1" t="s">
        <v>37</v>
      </c>
      <c r="C162" s="1">
        <v>6.1</v>
      </c>
      <c r="D162" s="1" t="s">
        <v>41</v>
      </c>
      <c r="E162" s="1">
        <v>8.8000000000000007</v>
      </c>
      <c r="F162" s="1">
        <v>1.7</v>
      </c>
      <c r="G162" s="1">
        <v>3.55</v>
      </c>
      <c r="H162" s="1">
        <v>1.3</v>
      </c>
      <c r="I162" s="1" t="s">
        <v>40</v>
      </c>
      <c r="J162" s="1">
        <v>6</v>
      </c>
      <c r="K162" s="1">
        <v>10</v>
      </c>
      <c r="L162" s="1">
        <v>9</v>
      </c>
      <c r="M162" s="8">
        <v>0</v>
      </c>
    </row>
    <row r="163" spans="1:13" hidden="1" x14ac:dyDescent="0.25">
      <c r="A163" s="7">
        <v>19</v>
      </c>
      <c r="B163" s="1" t="s">
        <v>34</v>
      </c>
      <c r="C163" s="1">
        <v>2.4</v>
      </c>
      <c r="D163" s="1" t="s">
        <v>41</v>
      </c>
      <c r="E163" s="1">
        <v>7.4</v>
      </c>
      <c r="F163" s="1">
        <v>1.2</v>
      </c>
      <c r="G163" s="1">
        <v>2.5</v>
      </c>
      <c r="H163" s="1">
        <v>1.8</v>
      </c>
      <c r="I163" s="1" t="s">
        <v>39</v>
      </c>
      <c r="J163" s="1">
        <v>2</v>
      </c>
      <c r="K163" s="1">
        <v>5</v>
      </c>
      <c r="L163" s="1">
        <v>2</v>
      </c>
      <c r="M163" s="8">
        <v>0</v>
      </c>
    </row>
    <row r="164" spans="1:13" hidden="1" x14ac:dyDescent="0.25">
      <c r="A164" s="7">
        <v>19</v>
      </c>
      <c r="B164" s="1" t="s">
        <v>34</v>
      </c>
      <c r="C164" s="1">
        <v>2</v>
      </c>
      <c r="D164" s="1" t="s">
        <v>38</v>
      </c>
      <c r="E164" s="1">
        <v>5.3</v>
      </c>
      <c r="F164" s="1">
        <v>1.7</v>
      </c>
      <c r="G164" s="1">
        <v>2.91</v>
      </c>
      <c r="H164" s="1">
        <v>0.8</v>
      </c>
      <c r="I164" s="1" t="s">
        <v>36</v>
      </c>
      <c r="J164" s="1">
        <v>9</v>
      </c>
      <c r="K164" s="1">
        <v>5</v>
      </c>
      <c r="L164" s="1">
        <v>9</v>
      </c>
      <c r="M164" s="8">
        <v>0</v>
      </c>
    </row>
    <row r="165" spans="1:13" hidden="1" x14ac:dyDescent="0.25">
      <c r="A165" s="7">
        <v>15</v>
      </c>
      <c r="B165" s="1" t="s">
        <v>37</v>
      </c>
      <c r="C165" s="1">
        <v>7.8</v>
      </c>
      <c r="D165" s="1" t="s">
        <v>38</v>
      </c>
      <c r="E165" s="1">
        <v>5.3</v>
      </c>
      <c r="F165" s="1">
        <v>0.5</v>
      </c>
      <c r="G165" s="1">
        <v>2.3199999999999998</v>
      </c>
      <c r="H165" s="1">
        <v>0.8</v>
      </c>
      <c r="I165" s="1" t="s">
        <v>36</v>
      </c>
      <c r="J165" s="1">
        <v>8</v>
      </c>
      <c r="K165" s="1">
        <v>9</v>
      </c>
      <c r="L165" s="1">
        <v>3</v>
      </c>
      <c r="M165" s="8">
        <v>1</v>
      </c>
    </row>
    <row r="166" spans="1:13" hidden="1" x14ac:dyDescent="0.25">
      <c r="A166" s="7">
        <v>16</v>
      </c>
      <c r="B166" s="1" t="s">
        <v>37</v>
      </c>
      <c r="C166" s="1">
        <v>6.8</v>
      </c>
      <c r="D166" s="1" t="s">
        <v>38</v>
      </c>
      <c r="E166" s="1">
        <v>7.2</v>
      </c>
      <c r="F166" s="1">
        <v>2.5</v>
      </c>
      <c r="G166" s="1">
        <v>3.61</v>
      </c>
      <c r="H166" s="1">
        <v>0.5</v>
      </c>
      <c r="I166" s="1" t="s">
        <v>40</v>
      </c>
      <c r="J166" s="1">
        <v>10</v>
      </c>
      <c r="K166" s="1">
        <v>1</v>
      </c>
      <c r="L166" s="1">
        <v>9</v>
      </c>
      <c r="M166" s="8">
        <v>0</v>
      </c>
    </row>
    <row r="167" spans="1:13" hidden="1" x14ac:dyDescent="0.25">
      <c r="A167" s="7">
        <v>17</v>
      </c>
      <c r="B167" s="1" t="s">
        <v>34</v>
      </c>
      <c r="C167" s="1">
        <v>8</v>
      </c>
      <c r="D167" s="1" t="s">
        <v>35</v>
      </c>
      <c r="E167" s="1">
        <v>4.5999999999999996</v>
      </c>
      <c r="F167" s="1">
        <v>2.6</v>
      </c>
      <c r="G167" s="1">
        <v>3.06</v>
      </c>
      <c r="H167" s="1">
        <v>0.1</v>
      </c>
      <c r="I167" s="1" t="s">
        <v>39</v>
      </c>
      <c r="J167" s="1">
        <v>9</v>
      </c>
      <c r="K167" s="1">
        <v>2</v>
      </c>
      <c r="L167" s="1">
        <v>6</v>
      </c>
      <c r="M167" s="8">
        <v>0</v>
      </c>
    </row>
    <row r="168" spans="1:13" hidden="1" x14ac:dyDescent="0.25">
      <c r="A168" s="7">
        <v>13</v>
      </c>
      <c r="B168" s="1" t="s">
        <v>37</v>
      </c>
      <c r="C168" s="1">
        <v>7.3</v>
      </c>
      <c r="D168" s="1" t="s">
        <v>41</v>
      </c>
      <c r="E168" s="1">
        <v>8.9</v>
      </c>
      <c r="F168" s="1">
        <v>2.7</v>
      </c>
      <c r="G168" s="1">
        <v>3.68</v>
      </c>
      <c r="H168" s="1">
        <v>1.9</v>
      </c>
      <c r="I168" s="1" t="s">
        <v>36</v>
      </c>
      <c r="J168" s="1">
        <v>6</v>
      </c>
      <c r="K168" s="1">
        <v>6</v>
      </c>
      <c r="L168" s="1">
        <v>10</v>
      </c>
      <c r="M168" s="8">
        <v>0</v>
      </c>
    </row>
    <row r="169" spans="1:13" hidden="1" x14ac:dyDescent="0.25">
      <c r="A169" s="7">
        <v>15</v>
      </c>
      <c r="B169" s="1" t="s">
        <v>37</v>
      </c>
      <c r="C169" s="1">
        <v>1.5</v>
      </c>
      <c r="D169" s="1" t="s">
        <v>41</v>
      </c>
      <c r="E169" s="1">
        <v>8.6999999999999993</v>
      </c>
      <c r="F169" s="1">
        <v>1.2</v>
      </c>
      <c r="G169" s="1">
        <v>2.52</v>
      </c>
      <c r="H169" s="1">
        <v>0.1</v>
      </c>
      <c r="I169" s="1" t="s">
        <v>36</v>
      </c>
      <c r="J169" s="1">
        <v>9</v>
      </c>
      <c r="K169" s="1">
        <v>7</v>
      </c>
      <c r="L169" s="1">
        <v>2</v>
      </c>
      <c r="M169" s="8">
        <v>0</v>
      </c>
    </row>
    <row r="170" spans="1:13" x14ac:dyDescent="0.25">
      <c r="A170" s="7">
        <v>15</v>
      </c>
      <c r="B170" s="1" t="s">
        <v>37</v>
      </c>
      <c r="C170" s="1">
        <v>3.4</v>
      </c>
      <c r="D170" s="1" t="s">
        <v>35</v>
      </c>
      <c r="E170" s="1">
        <v>5</v>
      </c>
      <c r="F170" s="1">
        <v>1.8</v>
      </c>
      <c r="G170" s="1">
        <v>3.2</v>
      </c>
      <c r="H170" s="1">
        <v>1.5</v>
      </c>
      <c r="I170" s="1" t="s">
        <v>40</v>
      </c>
      <c r="J170" s="1">
        <v>4</v>
      </c>
      <c r="K170" s="1">
        <v>5</v>
      </c>
      <c r="L170" s="1">
        <v>1</v>
      </c>
      <c r="M170" s="8">
        <v>0</v>
      </c>
    </row>
    <row r="171" spans="1:13" hidden="1" x14ac:dyDescent="0.25">
      <c r="A171" s="7">
        <v>15</v>
      </c>
      <c r="B171" s="1" t="s">
        <v>34</v>
      </c>
      <c r="C171" s="1">
        <v>7.3</v>
      </c>
      <c r="D171" s="1" t="s">
        <v>41</v>
      </c>
      <c r="E171" s="1">
        <v>4.8</v>
      </c>
      <c r="F171" s="1">
        <v>2.6</v>
      </c>
      <c r="G171" s="1">
        <v>3.81</v>
      </c>
      <c r="H171" s="1">
        <v>1.5</v>
      </c>
      <c r="I171" s="1" t="s">
        <v>36</v>
      </c>
      <c r="J171" s="1">
        <v>4</v>
      </c>
      <c r="K171" s="1">
        <v>7</v>
      </c>
      <c r="L171" s="1">
        <v>4</v>
      </c>
      <c r="M171" s="8">
        <v>0</v>
      </c>
    </row>
    <row r="172" spans="1:13" hidden="1" x14ac:dyDescent="0.25">
      <c r="A172" s="7">
        <v>13</v>
      </c>
      <c r="B172" s="1" t="s">
        <v>37</v>
      </c>
      <c r="C172" s="1">
        <v>1.9</v>
      </c>
      <c r="D172" s="1" t="s">
        <v>38</v>
      </c>
      <c r="E172" s="1">
        <v>8.5</v>
      </c>
      <c r="F172" s="1">
        <v>0.8</v>
      </c>
      <c r="G172" s="1">
        <v>3.33</v>
      </c>
      <c r="H172" s="1">
        <v>1.3</v>
      </c>
      <c r="I172" s="1" t="s">
        <v>40</v>
      </c>
      <c r="J172" s="1">
        <v>5</v>
      </c>
      <c r="K172" s="1">
        <v>1</v>
      </c>
      <c r="L172" s="1">
        <v>3</v>
      </c>
      <c r="M172" s="8">
        <v>0</v>
      </c>
    </row>
    <row r="173" spans="1:13" x14ac:dyDescent="0.25">
      <c r="A173" s="7">
        <v>17</v>
      </c>
      <c r="B173" s="1" t="s">
        <v>37</v>
      </c>
      <c r="C173" s="1">
        <v>3.9</v>
      </c>
      <c r="D173" s="1" t="s">
        <v>35</v>
      </c>
      <c r="E173" s="1">
        <v>8.1999999999999993</v>
      </c>
      <c r="F173" s="1">
        <v>1.3</v>
      </c>
      <c r="G173" s="1">
        <v>3.21</v>
      </c>
      <c r="H173" s="1">
        <v>1.8</v>
      </c>
      <c r="I173" s="1" t="s">
        <v>40</v>
      </c>
      <c r="J173" s="1">
        <v>3</v>
      </c>
      <c r="K173" s="1">
        <v>7</v>
      </c>
      <c r="L173" s="1">
        <v>7</v>
      </c>
      <c r="M173" s="8">
        <v>0</v>
      </c>
    </row>
    <row r="174" spans="1:13" hidden="1" x14ac:dyDescent="0.25">
      <c r="A174" s="7">
        <v>18</v>
      </c>
      <c r="B174" s="1" t="s">
        <v>34</v>
      </c>
      <c r="C174" s="1">
        <v>1.3</v>
      </c>
      <c r="D174" s="1" t="s">
        <v>35</v>
      </c>
      <c r="E174" s="1">
        <v>5.8</v>
      </c>
      <c r="F174" s="1">
        <v>1.3</v>
      </c>
      <c r="G174" s="1">
        <v>3.35</v>
      </c>
      <c r="H174" s="1">
        <v>1.9</v>
      </c>
      <c r="I174" s="1" t="s">
        <v>40</v>
      </c>
      <c r="J174" s="1">
        <v>9</v>
      </c>
      <c r="K174" s="1">
        <v>4</v>
      </c>
      <c r="L174" s="1">
        <v>9</v>
      </c>
      <c r="M174" s="8">
        <v>0</v>
      </c>
    </row>
    <row r="175" spans="1:13" hidden="1" x14ac:dyDescent="0.25">
      <c r="A175" s="7">
        <v>19</v>
      </c>
      <c r="B175" s="1" t="s">
        <v>34</v>
      </c>
      <c r="C175" s="1">
        <v>4.7</v>
      </c>
      <c r="D175" s="1" t="s">
        <v>38</v>
      </c>
      <c r="E175" s="1">
        <v>8.1999999999999993</v>
      </c>
      <c r="F175" s="1">
        <v>1.8</v>
      </c>
      <c r="G175" s="1">
        <v>2.2599999999999998</v>
      </c>
      <c r="H175" s="1">
        <v>1</v>
      </c>
      <c r="I175" s="1" t="s">
        <v>36</v>
      </c>
      <c r="J175" s="1">
        <v>7</v>
      </c>
      <c r="K175" s="1">
        <v>4</v>
      </c>
      <c r="L175" s="1">
        <v>7</v>
      </c>
      <c r="M175" s="8">
        <v>0</v>
      </c>
    </row>
    <row r="176" spans="1:13" hidden="1" x14ac:dyDescent="0.25">
      <c r="A176" s="7">
        <v>15</v>
      </c>
      <c r="B176" s="1" t="s">
        <v>34</v>
      </c>
      <c r="C176" s="1">
        <v>1.9</v>
      </c>
      <c r="D176" s="1" t="s">
        <v>38</v>
      </c>
      <c r="E176" s="1">
        <v>5.8</v>
      </c>
      <c r="F176" s="1">
        <v>2.2999999999999998</v>
      </c>
      <c r="G176" s="1">
        <v>2.4700000000000002</v>
      </c>
      <c r="H176" s="1">
        <v>0.3</v>
      </c>
      <c r="I176" s="1" t="s">
        <v>39</v>
      </c>
      <c r="J176" s="1">
        <v>10</v>
      </c>
      <c r="K176" s="1">
        <v>9</v>
      </c>
      <c r="L176" s="1">
        <v>4</v>
      </c>
      <c r="M176" s="8">
        <v>0</v>
      </c>
    </row>
    <row r="177" spans="1:13" hidden="1" x14ac:dyDescent="0.25">
      <c r="A177" s="7">
        <v>18</v>
      </c>
      <c r="B177" s="1" t="s">
        <v>37</v>
      </c>
      <c r="C177" s="1">
        <v>7</v>
      </c>
      <c r="D177" s="1" t="s">
        <v>41</v>
      </c>
      <c r="E177" s="1">
        <v>6.3</v>
      </c>
      <c r="F177" s="1">
        <v>1.6</v>
      </c>
      <c r="G177" s="1">
        <v>2.5499999999999998</v>
      </c>
      <c r="H177" s="1">
        <v>0.5</v>
      </c>
      <c r="I177" s="1" t="s">
        <v>40</v>
      </c>
      <c r="J177" s="1">
        <v>10</v>
      </c>
      <c r="K177" s="1">
        <v>1</v>
      </c>
      <c r="L177" s="1">
        <v>8</v>
      </c>
      <c r="M177" s="8">
        <v>0</v>
      </c>
    </row>
    <row r="178" spans="1:13" hidden="1" x14ac:dyDescent="0.25">
      <c r="A178" s="7">
        <v>15</v>
      </c>
      <c r="B178" s="1" t="s">
        <v>34</v>
      </c>
      <c r="C178" s="1">
        <v>6.2</v>
      </c>
      <c r="D178" s="1" t="s">
        <v>38</v>
      </c>
      <c r="E178" s="1">
        <v>6.3</v>
      </c>
      <c r="F178" s="1">
        <v>1.7</v>
      </c>
      <c r="G178" s="1">
        <v>2.2599999999999998</v>
      </c>
      <c r="H178" s="1">
        <v>1.1000000000000001</v>
      </c>
      <c r="I178" s="1" t="s">
        <v>39</v>
      </c>
      <c r="J178" s="1">
        <v>9</v>
      </c>
      <c r="K178" s="1">
        <v>6</v>
      </c>
      <c r="L178" s="1">
        <v>2</v>
      </c>
      <c r="M178" s="8">
        <v>0</v>
      </c>
    </row>
    <row r="179" spans="1:13" hidden="1" x14ac:dyDescent="0.25">
      <c r="A179" s="7">
        <v>14</v>
      </c>
      <c r="B179" s="1" t="s">
        <v>34</v>
      </c>
      <c r="C179" s="1">
        <v>3.2</v>
      </c>
      <c r="D179" s="1" t="s">
        <v>38</v>
      </c>
      <c r="E179" s="1">
        <v>8</v>
      </c>
      <c r="F179" s="1">
        <v>1.3</v>
      </c>
      <c r="G179" s="1">
        <v>2.5</v>
      </c>
      <c r="H179" s="1">
        <v>1.1000000000000001</v>
      </c>
      <c r="I179" s="1" t="s">
        <v>39</v>
      </c>
      <c r="J179" s="1">
        <v>2</v>
      </c>
      <c r="K179" s="1">
        <v>7</v>
      </c>
      <c r="L179" s="1">
        <v>5</v>
      </c>
      <c r="M179" s="8">
        <v>0</v>
      </c>
    </row>
    <row r="180" spans="1:13" hidden="1" x14ac:dyDescent="0.25">
      <c r="A180" s="7">
        <v>18</v>
      </c>
      <c r="B180" s="1" t="s">
        <v>37</v>
      </c>
      <c r="C180" s="1">
        <v>4.5</v>
      </c>
      <c r="D180" s="1" t="s">
        <v>41</v>
      </c>
      <c r="E180" s="1">
        <v>7.9</v>
      </c>
      <c r="F180" s="1">
        <v>1.4</v>
      </c>
      <c r="G180" s="1">
        <v>2.38</v>
      </c>
      <c r="H180" s="1">
        <v>0.1</v>
      </c>
      <c r="I180" s="1" t="s">
        <v>39</v>
      </c>
      <c r="J180" s="1">
        <v>7</v>
      </c>
      <c r="K180" s="1">
        <v>9</v>
      </c>
      <c r="L180" s="1">
        <v>1</v>
      </c>
      <c r="M180" s="8">
        <v>0</v>
      </c>
    </row>
    <row r="181" spans="1:13" hidden="1" x14ac:dyDescent="0.25">
      <c r="A181" s="7">
        <v>14</v>
      </c>
      <c r="B181" s="1" t="s">
        <v>37</v>
      </c>
      <c r="C181" s="1">
        <v>1.1000000000000001</v>
      </c>
      <c r="D181" s="1" t="s">
        <v>41</v>
      </c>
      <c r="E181" s="1">
        <v>6.1</v>
      </c>
      <c r="F181" s="1">
        <v>2.5</v>
      </c>
      <c r="G181" s="1">
        <v>2.8</v>
      </c>
      <c r="H181" s="1">
        <v>1.8</v>
      </c>
      <c r="I181" s="1" t="s">
        <v>39</v>
      </c>
      <c r="J181" s="1">
        <v>4</v>
      </c>
      <c r="K181" s="1">
        <v>10</v>
      </c>
      <c r="L181" s="1">
        <v>3</v>
      </c>
      <c r="M181" s="8">
        <v>0</v>
      </c>
    </row>
    <row r="182" spans="1:13" hidden="1" x14ac:dyDescent="0.25">
      <c r="A182" s="7">
        <v>13</v>
      </c>
      <c r="B182" s="1" t="s">
        <v>34</v>
      </c>
      <c r="C182" s="1">
        <v>5.9</v>
      </c>
      <c r="D182" s="1" t="s">
        <v>35</v>
      </c>
      <c r="E182" s="1">
        <v>8</v>
      </c>
      <c r="F182" s="1">
        <v>2.8</v>
      </c>
      <c r="G182" s="1">
        <v>3.21</v>
      </c>
      <c r="H182" s="1">
        <v>1.6</v>
      </c>
      <c r="I182" s="1" t="s">
        <v>40</v>
      </c>
      <c r="J182" s="1">
        <v>2</v>
      </c>
      <c r="K182" s="1">
        <v>8</v>
      </c>
      <c r="L182" s="1">
        <v>8</v>
      </c>
      <c r="M182" s="8">
        <v>0</v>
      </c>
    </row>
    <row r="183" spans="1:13" hidden="1" x14ac:dyDescent="0.25">
      <c r="A183" s="7">
        <v>17</v>
      </c>
      <c r="B183" s="1" t="s">
        <v>34</v>
      </c>
      <c r="C183" s="1">
        <v>5.0999999999999996</v>
      </c>
      <c r="D183" s="1" t="s">
        <v>41</v>
      </c>
      <c r="E183" s="1">
        <v>5</v>
      </c>
      <c r="F183" s="1">
        <v>2.2000000000000002</v>
      </c>
      <c r="G183" s="1">
        <v>3.58</v>
      </c>
      <c r="H183" s="1">
        <v>1.2</v>
      </c>
      <c r="I183" s="1" t="s">
        <v>39</v>
      </c>
      <c r="J183" s="1">
        <v>6</v>
      </c>
      <c r="K183" s="1">
        <v>3</v>
      </c>
      <c r="L183" s="1">
        <v>9</v>
      </c>
      <c r="M183" s="8">
        <v>0</v>
      </c>
    </row>
    <row r="184" spans="1:13" hidden="1" x14ac:dyDescent="0.25">
      <c r="A184" s="7">
        <v>15</v>
      </c>
      <c r="B184" s="1" t="s">
        <v>34</v>
      </c>
      <c r="C184" s="1">
        <v>1.6</v>
      </c>
      <c r="D184" s="1" t="s">
        <v>35</v>
      </c>
      <c r="E184" s="1">
        <v>6.9</v>
      </c>
      <c r="F184" s="1">
        <v>2.2999999999999998</v>
      </c>
      <c r="G184" s="1">
        <v>3.16</v>
      </c>
      <c r="H184" s="1">
        <v>0.9</v>
      </c>
      <c r="I184" s="1" t="s">
        <v>40</v>
      </c>
      <c r="J184" s="1">
        <v>3</v>
      </c>
      <c r="K184" s="1">
        <v>1</v>
      </c>
      <c r="L184" s="1">
        <v>5</v>
      </c>
      <c r="M184" s="8">
        <v>0</v>
      </c>
    </row>
    <row r="185" spans="1:13" hidden="1" x14ac:dyDescent="0.25">
      <c r="A185" s="7">
        <v>15</v>
      </c>
      <c r="B185" s="1" t="s">
        <v>37</v>
      </c>
      <c r="C185" s="1">
        <v>7.2</v>
      </c>
      <c r="D185" s="1" t="s">
        <v>38</v>
      </c>
      <c r="E185" s="1">
        <v>8</v>
      </c>
      <c r="F185" s="1">
        <v>1.4</v>
      </c>
      <c r="G185" s="1">
        <v>3.64</v>
      </c>
      <c r="H185" s="1">
        <v>0.4</v>
      </c>
      <c r="I185" s="1" t="s">
        <v>40</v>
      </c>
      <c r="J185" s="1">
        <v>10</v>
      </c>
      <c r="K185" s="1">
        <v>5</v>
      </c>
      <c r="L185" s="1">
        <v>7</v>
      </c>
      <c r="M185" s="8">
        <v>0</v>
      </c>
    </row>
    <row r="186" spans="1:13" x14ac:dyDescent="0.25">
      <c r="A186" s="7">
        <v>17</v>
      </c>
      <c r="B186" s="1" t="s">
        <v>37</v>
      </c>
      <c r="C186" s="1">
        <v>1.4</v>
      </c>
      <c r="D186" s="1" t="s">
        <v>35</v>
      </c>
      <c r="E186" s="1">
        <v>6.9</v>
      </c>
      <c r="F186" s="1">
        <v>2.4</v>
      </c>
      <c r="G186" s="1">
        <v>3.06</v>
      </c>
      <c r="H186" s="1">
        <v>1.9</v>
      </c>
      <c r="I186" s="1" t="s">
        <v>40</v>
      </c>
      <c r="J186" s="1">
        <v>4</v>
      </c>
      <c r="K186" s="1">
        <v>10</v>
      </c>
      <c r="L186" s="1">
        <v>8</v>
      </c>
      <c r="M186" s="8">
        <v>0</v>
      </c>
    </row>
    <row r="187" spans="1:13" x14ac:dyDescent="0.25">
      <c r="A187" s="7">
        <v>17</v>
      </c>
      <c r="B187" s="1" t="s">
        <v>37</v>
      </c>
      <c r="C187" s="1">
        <v>6.6</v>
      </c>
      <c r="D187" s="1" t="s">
        <v>35</v>
      </c>
      <c r="E187" s="1">
        <v>8</v>
      </c>
      <c r="F187" s="1">
        <v>2.2000000000000002</v>
      </c>
      <c r="G187" s="1">
        <v>2.21</v>
      </c>
      <c r="H187" s="1">
        <v>1</v>
      </c>
      <c r="I187" s="1" t="s">
        <v>39</v>
      </c>
      <c r="J187" s="1">
        <v>10</v>
      </c>
      <c r="K187" s="1">
        <v>8</v>
      </c>
      <c r="L187" s="1">
        <v>10</v>
      </c>
      <c r="M187" s="8">
        <v>0</v>
      </c>
    </row>
    <row r="188" spans="1:13" x14ac:dyDescent="0.25">
      <c r="A188" s="7">
        <v>15</v>
      </c>
      <c r="B188" s="1" t="s">
        <v>37</v>
      </c>
      <c r="C188" s="1">
        <v>3.5</v>
      </c>
      <c r="D188" s="1" t="s">
        <v>35</v>
      </c>
      <c r="E188" s="1">
        <v>6.3</v>
      </c>
      <c r="F188" s="1">
        <v>0.8</v>
      </c>
      <c r="G188" s="1">
        <v>2.71</v>
      </c>
      <c r="H188" s="1">
        <v>1.8</v>
      </c>
      <c r="I188" s="1" t="s">
        <v>39</v>
      </c>
      <c r="J188" s="1">
        <v>7</v>
      </c>
      <c r="K188" s="1">
        <v>4</v>
      </c>
      <c r="L188" s="1">
        <v>2</v>
      </c>
      <c r="M188" s="8">
        <v>0</v>
      </c>
    </row>
    <row r="189" spans="1:13" hidden="1" x14ac:dyDescent="0.25">
      <c r="A189" s="7">
        <v>17</v>
      </c>
      <c r="B189" s="1" t="s">
        <v>37</v>
      </c>
      <c r="C189" s="1">
        <v>5.4</v>
      </c>
      <c r="D189" s="1" t="s">
        <v>41</v>
      </c>
      <c r="E189" s="1">
        <v>6.3</v>
      </c>
      <c r="F189" s="1">
        <v>2.8</v>
      </c>
      <c r="G189" s="1">
        <v>3.06</v>
      </c>
      <c r="H189" s="1">
        <v>0.8</v>
      </c>
      <c r="I189" s="1" t="s">
        <v>36</v>
      </c>
      <c r="J189" s="1">
        <v>3</v>
      </c>
      <c r="K189" s="1">
        <v>7</v>
      </c>
      <c r="L189" s="1">
        <v>9</v>
      </c>
      <c r="M189" s="8">
        <v>0</v>
      </c>
    </row>
    <row r="190" spans="1:13" hidden="1" x14ac:dyDescent="0.25">
      <c r="A190" s="7">
        <v>16</v>
      </c>
      <c r="B190" s="1" t="s">
        <v>37</v>
      </c>
      <c r="C190" s="1">
        <v>4.2</v>
      </c>
      <c r="D190" s="1" t="s">
        <v>41</v>
      </c>
      <c r="E190" s="1">
        <v>7.3</v>
      </c>
      <c r="F190" s="1">
        <v>1.1000000000000001</v>
      </c>
      <c r="G190" s="1">
        <v>3.1</v>
      </c>
      <c r="H190" s="1">
        <v>1.6</v>
      </c>
      <c r="I190" s="1" t="s">
        <v>40</v>
      </c>
      <c r="J190" s="1">
        <v>1</v>
      </c>
      <c r="K190" s="1">
        <v>6</v>
      </c>
      <c r="L190" s="1">
        <v>2</v>
      </c>
      <c r="M190" s="8">
        <v>0</v>
      </c>
    </row>
    <row r="191" spans="1:13" hidden="1" x14ac:dyDescent="0.25">
      <c r="A191" s="7">
        <v>13</v>
      </c>
      <c r="B191" s="1" t="s">
        <v>34</v>
      </c>
      <c r="C191" s="1">
        <v>2.5</v>
      </c>
      <c r="D191" s="1" t="s">
        <v>35</v>
      </c>
      <c r="E191" s="1">
        <v>8.3000000000000007</v>
      </c>
      <c r="F191" s="1">
        <v>1.6</v>
      </c>
      <c r="G191" s="1">
        <v>2.91</v>
      </c>
      <c r="H191" s="1">
        <v>0.6</v>
      </c>
      <c r="I191" s="1" t="s">
        <v>39</v>
      </c>
      <c r="J191" s="1">
        <v>10</v>
      </c>
      <c r="K191" s="1">
        <v>2</v>
      </c>
      <c r="L191" s="1">
        <v>6</v>
      </c>
      <c r="M191" s="8">
        <v>0</v>
      </c>
    </row>
    <row r="192" spans="1:13" hidden="1" x14ac:dyDescent="0.25">
      <c r="A192" s="7">
        <v>16</v>
      </c>
      <c r="B192" s="1" t="s">
        <v>37</v>
      </c>
      <c r="C192" s="1">
        <v>3.8</v>
      </c>
      <c r="D192" s="1" t="s">
        <v>38</v>
      </c>
      <c r="E192" s="1">
        <v>6</v>
      </c>
      <c r="F192" s="1">
        <v>3</v>
      </c>
      <c r="G192" s="1">
        <v>2.1</v>
      </c>
      <c r="H192" s="1">
        <v>0.2</v>
      </c>
      <c r="I192" s="1" t="s">
        <v>36</v>
      </c>
      <c r="J192" s="1">
        <v>7</v>
      </c>
      <c r="K192" s="1">
        <v>9</v>
      </c>
      <c r="L192" s="1">
        <v>1</v>
      </c>
      <c r="M192" s="8">
        <v>0</v>
      </c>
    </row>
    <row r="193" spans="1:13" hidden="1" x14ac:dyDescent="0.25">
      <c r="A193" s="7">
        <v>13</v>
      </c>
      <c r="B193" s="1" t="s">
        <v>34</v>
      </c>
      <c r="C193" s="1">
        <v>1.8</v>
      </c>
      <c r="D193" s="1" t="s">
        <v>35</v>
      </c>
      <c r="E193" s="1">
        <v>8.9</v>
      </c>
      <c r="F193" s="1">
        <v>1.2</v>
      </c>
      <c r="G193" s="1">
        <v>3.67</v>
      </c>
      <c r="H193" s="1">
        <v>0.1</v>
      </c>
      <c r="I193" s="1" t="s">
        <v>40</v>
      </c>
      <c r="J193" s="1">
        <v>2</v>
      </c>
      <c r="K193" s="1">
        <v>8</v>
      </c>
      <c r="L193" s="1">
        <v>9</v>
      </c>
      <c r="M193" s="8">
        <v>0</v>
      </c>
    </row>
    <row r="194" spans="1:13" hidden="1" x14ac:dyDescent="0.25">
      <c r="A194" s="7">
        <v>14</v>
      </c>
      <c r="B194" s="1" t="s">
        <v>34</v>
      </c>
      <c r="C194" s="1">
        <v>5.4</v>
      </c>
      <c r="D194" s="1" t="s">
        <v>35</v>
      </c>
      <c r="E194" s="1">
        <v>5.6</v>
      </c>
      <c r="F194" s="1">
        <v>1.8</v>
      </c>
      <c r="G194" s="1">
        <v>3.01</v>
      </c>
      <c r="H194" s="1">
        <v>0.9</v>
      </c>
      <c r="I194" s="1" t="s">
        <v>36</v>
      </c>
      <c r="J194" s="1">
        <v>10</v>
      </c>
      <c r="K194" s="1">
        <v>6</v>
      </c>
      <c r="L194" s="1">
        <v>8</v>
      </c>
      <c r="M194" s="8">
        <v>0</v>
      </c>
    </row>
    <row r="195" spans="1:13" x14ac:dyDescent="0.25">
      <c r="A195" s="7">
        <v>14</v>
      </c>
      <c r="B195" s="1" t="s">
        <v>37</v>
      </c>
      <c r="C195" s="1">
        <v>7.7</v>
      </c>
      <c r="D195" s="1" t="s">
        <v>35</v>
      </c>
      <c r="E195" s="1">
        <v>6.1</v>
      </c>
      <c r="F195" s="1">
        <v>0.8</v>
      </c>
      <c r="G195" s="1">
        <v>3.47</v>
      </c>
      <c r="H195" s="1">
        <v>1.5</v>
      </c>
      <c r="I195" s="1" t="s">
        <v>40</v>
      </c>
      <c r="J195" s="1">
        <v>9</v>
      </c>
      <c r="K195" s="1">
        <v>10</v>
      </c>
      <c r="L195" s="1">
        <v>9</v>
      </c>
      <c r="M195" s="8">
        <v>0</v>
      </c>
    </row>
    <row r="196" spans="1:13" x14ac:dyDescent="0.25">
      <c r="A196" s="7">
        <v>18</v>
      </c>
      <c r="B196" s="1" t="s">
        <v>37</v>
      </c>
      <c r="C196" s="1">
        <v>4.0999999999999996</v>
      </c>
      <c r="D196" s="1" t="s">
        <v>35</v>
      </c>
      <c r="E196" s="1">
        <v>8</v>
      </c>
      <c r="F196" s="1">
        <v>1.7</v>
      </c>
      <c r="G196" s="1">
        <v>2.29</v>
      </c>
      <c r="H196" s="1">
        <v>1.4</v>
      </c>
      <c r="I196" s="1" t="s">
        <v>36</v>
      </c>
      <c r="J196" s="1">
        <v>2</v>
      </c>
      <c r="K196" s="1">
        <v>1</v>
      </c>
      <c r="L196" s="1">
        <v>10</v>
      </c>
      <c r="M196" s="8">
        <v>0</v>
      </c>
    </row>
    <row r="197" spans="1:13" hidden="1" x14ac:dyDescent="0.25">
      <c r="A197" s="7">
        <v>15</v>
      </c>
      <c r="B197" s="1" t="s">
        <v>37</v>
      </c>
      <c r="C197" s="1">
        <v>6.6</v>
      </c>
      <c r="D197" s="1" t="s">
        <v>41</v>
      </c>
      <c r="E197" s="1">
        <v>4.9000000000000004</v>
      </c>
      <c r="F197" s="1">
        <v>3</v>
      </c>
      <c r="G197" s="1">
        <v>2.99</v>
      </c>
      <c r="H197" s="1">
        <v>0.9</v>
      </c>
      <c r="I197" s="1" t="s">
        <v>40</v>
      </c>
      <c r="J197" s="1">
        <v>4</v>
      </c>
      <c r="K197" s="1">
        <v>8</v>
      </c>
      <c r="L197" s="1">
        <v>3</v>
      </c>
      <c r="M197" s="8">
        <v>0</v>
      </c>
    </row>
    <row r="198" spans="1:13" hidden="1" x14ac:dyDescent="0.25">
      <c r="A198" s="7">
        <v>16</v>
      </c>
      <c r="B198" s="1" t="s">
        <v>34</v>
      </c>
      <c r="C198" s="1">
        <v>2.2999999999999998</v>
      </c>
      <c r="D198" s="1" t="s">
        <v>41</v>
      </c>
      <c r="E198" s="1">
        <v>4.0999999999999996</v>
      </c>
      <c r="F198" s="1">
        <v>0.8</v>
      </c>
      <c r="G198" s="1">
        <v>3.18</v>
      </c>
      <c r="H198" s="1">
        <v>1.7</v>
      </c>
      <c r="I198" s="1" t="s">
        <v>40</v>
      </c>
      <c r="J198" s="1">
        <v>5</v>
      </c>
      <c r="K198" s="1">
        <v>3</v>
      </c>
      <c r="L198" s="1">
        <v>8</v>
      </c>
      <c r="M198" s="8">
        <v>0</v>
      </c>
    </row>
    <row r="199" spans="1:13" x14ac:dyDescent="0.25">
      <c r="A199" s="7">
        <v>17</v>
      </c>
      <c r="B199" s="1" t="s">
        <v>37</v>
      </c>
      <c r="C199" s="1">
        <v>7.5</v>
      </c>
      <c r="D199" s="1" t="s">
        <v>35</v>
      </c>
      <c r="E199" s="1">
        <v>5.9</v>
      </c>
      <c r="F199" s="1">
        <v>2.9</v>
      </c>
      <c r="G199" s="1">
        <v>3.71</v>
      </c>
      <c r="H199" s="1">
        <v>1.7</v>
      </c>
      <c r="I199" s="1" t="s">
        <v>36</v>
      </c>
      <c r="J199" s="1">
        <v>3</v>
      </c>
      <c r="K199" s="1">
        <v>1</v>
      </c>
      <c r="L199" s="1">
        <v>10</v>
      </c>
      <c r="M199" s="8">
        <v>0</v>
      </c>
    </row>
    <row r="200" spans="1:13" hidden="1" x14ac:dyDescent="0.25">
      <c r="A200" s="7">
        <v>18</v>
      </c>
      <c r="B200" s="1" t="s">
        <v>34</v>
      </c>
      <c r="C200" s="1">
        <v>7.1</v>
      </c>
      <c r="D200" s="1" t="s">
        <v>35</v>
      </c>
      <c r="E200" s="1">
        <v>8</v>
      </c>
      <c r="F200" s="1">
        <v>2.9</v>
      </c>
      <c r="G200" s="1">
        <v>2.59</v>
      </c>
      <c r="H200" s="1">
        <v>1.2</v>
      </c>
      <c r="I200" s="1" t="s">
        <v>39</v>
      </c>
      <c r="J200" s="1">
        <v>10</v>
      </c>
      <c r="K200" s="1">
        <v>8</v>
      </c>
      <c r="L200" s="1">
        <v>5</v>
      </c>
      <c r="M200" s="8">
        <v>0</v>
      </c>
    </row>
    <row r="201" spans="1:13" hidden="1" x14ac:dyDescent="0.25">
      <c r="A201" s="7">
        <v>17</v>
      </c>
      <c r="B201" s="1" t="s">
        <v>37</v>
      </c>
      <c r="C201" s="1">
        <v>1.7</v>
      </c>
      <c r="D201" s="1" t="s">
        <v>41</v>
      </c>
      <c r="E201" s="1">
        <v>6.3</v>
      </c>
      <c r="F201" s="1">
        <v>1.5</v>
      </c>
      <c r="G201" s="1">
        <v>2.66</v>
      </c>
      <c r="H201" s="1">
        <v>1.8</v>
      </c>
      <c r="I201" s="1" t="s">
        <v>36</v>
      </c>
      <c r="J201" s="1">
        <v>1</v>
      </c>
      <c r="K201" s="1">
        <v>4</v>
      </c>
      <c r="L201" s="1">
        <v>10</v>
      </c>
      <c r="M201" s="8">
        <v>0</v>
      </c>
    </row>
    <row r="202" spans="1:13" hidden="1" x14ac:dyDescent="0.25">
      <c r="A202" s="7">
        <v>13</v>
      </c>
      <c r="B202" s="1" t="s">
        <v>34</v>
      </c>
      <c r="C202" s="1">
        <v>7.9</v>
      </c>
      <c r="D202" s="1" t="s">
        <v>35</v>
      </c>
      <c r="E202" s="1">
        <v>5.8</v>
      </c>
      <c r="F202" s="1">
        <v>0.8</v>
      </c>
      <c r="G202" s="1">
        <v>3.31</v>
      </c>
      <c r="H202" s="1">
        <v>1.6</v>
      </c>
      <c r="I202" s="1" t="s">
        <v>40</v>
      </c>
      <c r="J202" s="1">
        <v>3</v>
      </c>
      <c r="K202" s="1">
        <v>7</v>
      </c>
      <c r="L202" s="1">
        <v>2</v>
      </c>
      <c r="M202" s="8">
        <v>0</v>
      </c>
    </row>
    <row r="203" spans="1:13" x14ac:dyDescent="0.25">
      <c r="A203" s="7">
        <v>16</v>
      </c>
      <c r="B203" s="1" t="s">
        <v>37</v>
      </c>
      <c r="C203" s="1">
        <v>4</v>
      </c>
      <c r="D203" s="1" t="s">
        <v>35</v>
      </c>
      <c r="E203" s="1">
        <v>7.9</v>
      </c>
      <c r="F203" s="1">
        <v>1.9</v>
      </c>
      <c r="G203" s="1">
        <v>2.56</v>
      </c>
      <c r="H203" s="1">
        <v>0.1</v>
      </c>
      <c r="I203" s="1" t="s">
        <v>39</v>
      </c>
      <c r="J203" s="1">
        <v>4</v>
      </c>
      <c r="K203" s="1">
        <v>9</v>
      </c>
      <c r="L203" s="1">
        <v>9</v>
      </c>
      <c r="M203" s="8">
        <v>0</v>
      </c>
    </row>
    <row r="204" spans="1:13" hidden="1" x14ac:dyDescent="0.25">
      <c r="A204" s="7">
        <v>15</v>
      </c>
      <c r="B204" s="1" t="s">
        <v>37</v>
      </c>
      <c r="C204" s="1">
        <v>1.2</v>
      </c>
      <c r="D204" s="1" t="s">
        <v>38</v>
      </c>
      <c r="E204" s="1">
        <v>8.1</v>
      </c>
      <c r="F204" s="1">
        <v>2</v>
      </c>
      <c r="G204" s="1">
        <v>3.33</v>
      </c>
      <c r="H204" s="1">
        <v>1.5</v>
      </c>
      <c r="I204" s="1" t="s">
        <v>40</v>
      </c>
      <c r="J204" s="1">
        <v>7</v>
      </c>
      <c r="K204" s="1">
        <v>3</v>
      </c>
      <c r="L204" s="1">
        <v>8</v>
      </c>
      <c r="M204" s="8">
        <v>0</v>
      </c>
    </row>
    <row r="205" spans="1:13" hidden="1" x14ac:dyDescent="0.25">
      <c r="A205" s="7">
        <v>19</v>
      </c>
      <c r="B205" s="1" t="s">
        <v>34</v>
      </c>
      <c r="C205" s="1">
        <v>3.5</v>
      </c>
      <c r="D205" s="1" t="s">
        <v>38</v>
      </c>
      <c r="E205" s="1">
        <v>8.4</v>
      </c>
      <c r="F205" s="1">
        <v>1.7</v>
      </c>
      <c r="G205" s="1">
        <v>2.46</v>
      </c>
      <c r="H205" s="1">
        <v>0.1</v>
      </c>
      <c r="I205" s="1" t="s">
        <v>39</v>
      </c>
      <c r="J205" s="1">
        <v>6</v>
      </c>
      <c r="K205" s="1">
        <v>9</v>
      </c>
      <c r="L205" s="1">
        <v>3</v>
      </c>
      <c r="M205" s="8">
        <v>0</v>
      </c>
    </row>
    <row r="206" spans="1:13" hidden="1" x14ac:dyDescent="0.25">
      <c r="A206" s="7">
        <v>17</v>
      </c>
      <c r="B206" s="1" t="s">
        <v>34</v>
      </c>
      <c r="C206" s="1">
        <v>1.1000000000000001</v>
      </c>
      <c r="D206" s="1" t="s">
        <v>35</v>
      </c>
      <c r="E206" s="1">
        <v>6.8</v>
      </c>
      <c r="F206" s="1">
        <v>2</v>
      </c>
      <c r="G206" s="1">
        <v>3.45</v>
      </c>
      <c r="H206" s="1">
        <v>1.3</v>
      </c>
      <c r="I206" s="1" t="s">
        <v>40</v>
      </c>
      <c r="J206" s="1">
        <v>7</v>
      </c>
      <c r="K206" s="1">
        <v>1</v>
      </c>
      <c r="L206" s="1">
        <v>2</v>
      </c>
      <c r="M206" s="8">
        <v>0</v>
      </c>
    </row>
    <row r="207" spans="1:13" hidden="1" x14ac:dyDescent="0.25">
      <c r="A207" s="7">
        <v>19</v>
      </c>
      <c r="B207" s="1" t="s">
        <v>37</v>
      </c>
      <c r="C207" s="1">
        <v>1.6</v>
      </c>
      <c r="D207" s="1" t="s">
        <v>38</v>
      </c>
      <c r="E207" s="1">
        <v>4.0999999999999996</v>
      </c>
      <c r="F207" s="1">
        <v>1.6</v>
      </c>
      <c r="G207" s="1">
        <v>3.15</v>
      </c>
      <c r="H207" s="1">
        <v>0.9</v>
      </c>
      <c r="I207" s="1" t="s">
        <v>40</v>
      </c>
      <c r="J207" s="1">
        <v>2</v>
      </c>
      <c r="K207" s="1">
        <v>6</v>
      </c>
      <c r="L207" s="1">
        <v>4</v>
      </c>
      <c r="M207" s="8">
        <v>0</v>
      </c>
    </row>
    <row r="208" spans="1:13" hidden="1" x14ac:dyDescent="0.25">
      <c r="A208" s="7">
        <v>16</v>
      </c>
      <c r="B208" s="1" t="s">
        <v>37</v>
      </c>
      <c r="C208" s="1">
        <v>2.5</v>
      </c>
      <c r="D208" s="1" t="s">
        <v>38</v>
      </c>
      <c r="E208" s="1">
        <v>8.9</v>
      </c>
      <c r="F208" s="1">
        <v>2.9</v>
      </c>
      <c r="G208" s="1">
        <v>2.5299999999999998</v>
      </c>
      <c r="H208" s="1">
        <v>0.1</v>
      </c>
      <c r="I208" s="1" t="s">
        <v>39</v>
      </c>
      <c r="J208" s="1">
        <v>8</v>
      </c>
      <c r="K208" s="1">
        <v>7</v>
      </c>
      <c r="L208" s="1">
        <v>3</v>
      </c>
      <c r="M208" s="8">
        <v>0</v>
      </c>
    </row>
    <row r="209" spans="1:13" hidden="1" x14ac:dyDescent="0.25">
      <c r="A209" s="7">
        <v>15</v>
      </c>
      <c r="B209" s="1" t="s">
        <v>34</v>
      </c>
      <c r="C209" s="1">
        <v>2.8</v>
      </c>
      <c r="D209" s="1" t="s">
        <v>35</v>
      </c>
      <c r="E209" s="1">
        <v>7.2</v>
      </c>
      <c r="F209" s="1">
        <v>1.8</v>
      </c>
      <c r="G209" s="1">
        <v>2.91</v>
      </c>
      <c r="H209" s="1">
        <v>0.2</v>
      </c>
      <c r="I209" s="1" t="s">
        <v>36</v>
      </c>
      <c r="J209" s="1">
        <v>5</v>
      </c>
      <c r="K209" s="1">
        <v>5</v>
      </c>
      <c r="L209" s="1">
        <v>4</v>
      </c>
      <c r="M209" s="8">
        <v>0</v>
      </c>
    </row>
    <row r="210" spans="1:13" hidden="1" x14ac:dyDescent="0.25">
      <c r="A210" s="7">
        <v>15</v>
      </c>
      <c r="B210" s="1" t="s">
        <v>34</v>
      </c>
      <c r="C210" s="1">
        <v>2.2000000000000002</v>
      </c>
      <c r="D210" s="1" t="s">
        <v>35</v>
      </c>
      <c r="E210" s="1">
        <v>5.2</v>
      </c>
      <c r="F210" s="1">
        <v>1.4</v>
      </c>
      <c r="G210" s="1">
        <v>2.62</v>
      </c>
      <c r="H210" s="1">
        <v>1.5</v>
      </c>
      <c r="I210" s="1" t="s">
        <v>40</v>
      </c>
      <c r="J210" s="1">
        <v>10</v>
      </c>
      <c r="K210" s="1">
        <v>7</v>
      </c>
      <c r="L210" s="1">
        <v>5</v>
      </c>
      <c r="M210" s="8">
        <v>0</v>
      </c>
    </row>
    <row r="211" spans="1:13" hidden="1" x14ac:dyDescent="0.25">
      <c r="A211" s="7">
        <v>16</v>
      </c>
      <c r="B211" s="1" t="s">
        <v>34</v>
      </c>
      <c r="C211" s="1">
        <v>4.8</v>
      </c>
      <c r="D211" s="1" t="s">
        <v>41</v>
      </c>
      <c r="E211" s="1">
        <v>6.8</v>
      </c>
      <c r="F211" s="1">
        <v>1</v>
      </c>
      <c r="G211" s="1">
        <v>2.6</v>
      </c>
      <c r="H211" s="1">
        <v>1.1000000000000001</v>
      </c>
      <c r="I211" s="1" t="s">
        <v>40</v>
      </c>
      <c r="J211" s="1">
        <v>1</v>
      </c>
      <c r="K211" s="1">
        <v>5</v>
      </c>
      <c r="L211" s="1">
        <v>6</v>
      </c>
      <c r="M211" s="8">
        <v>0</v>
      </c>
    </row>
    <row r="212" spans="1:13" hidden="1" x14ac:dyDescent="0.25">
      <c r="A212" s="7">
        <v>18</v>
      </c>
      <c r="B212" s="1" t="s">
        <v>37</v>
      </c>
      <c r="C212" s="1">
        <v>3.7</v>
      </c>
      <c r="D212" s="1" t="s">
        <v>41</v>
      </c>
      <c r="E212" s="1">
        <v>7.9</v>
      </c>
      <c r="F212" s="1">
        <v>2.7</v>
      </c>
      <c r="G212" s="1">
        <v>3.11</v>
      </c>
      <c r="H212" s="1">
        <v>0.3</v>
      </c>
      <c r="I212" s="1" t="s">
        <v>40</v>
      </c>
      <c r="J212" s="1">
        <v>6</v>
      </c>
      <c r="K212" s="1">
        <v>6</v>
      </c>
      <c r="L212" s="1">
        <v>5</v>
      </c>
      <c r="M212" s="8">
        <v>0</v>
      </c>
    </row>
    <row r="213" spans="1:13" hidden="1" x14ac:dyDescent="0.25">
      <c r="A213" s="7">
        <v>16</v>
      </c>
      <c r="B213" s="1" t="s">
        <v>34</v>
      </c>
      <c r="C213" s="1">
        <v>5.5</v>
      </c>
      <c r="D213" s="1" t="s">
        <v>35</v>
      </c>
      <c r="E213" s="1">
        <v>8.3000000000000007</v>
      </c>
      <c r="F213" s="1">
        <v>2.2999999999999998</v>
      </c>
      <c r="G213" s="1">
        <v>3.47</v>
      </c>
      <c r="H213" s="1">
        <v>1.6</v>
      </c>
      <c r="I213" s="1" t="s">
        <v>40</v>
      </c>
      <c r="J213" s="1">
        <v>4</v>
      </c>
      <c r="K213" s="1">
        <v>8</v>
      </c>
      <c r="L213" s="1">
        <v>5</v>
      </c>
      <c r="M213" s="8">
        <v>0</v>
      </c>
    </row>
    <row r="214" spans="1:13" hidden="1" x14ac:dyDescent="0.25">
      <c r="A214" s="7">
        <v>16</v>
      </c>
      <c r="B214" s="1" t="s">
        <v>34</v>
      </c>
      <c r="C214" s="1">
        <v>2.5</v>
      </c>
      <c r="D214" s="1" t="s">
        <v>35</v>
      </c>
      <c r="E214" s="1">
        <v>6.8</v>
      </c>
      <c r="F214" s="1">
        <v>1</v>
      </c>
      <c r="G214" s="1">
        <v>3.77</v>
      </c>
      <c r="H214" s="1">
        <v>1</v>
      </c>
      <c r="I214" s="1" t="s">
        <v>39</v>
      </c>
      <c r="J214" s="1">
        <v>3</v>
      </c>
      <c r="K214" s="1">
        <v>9</v>
      </c>
      <c r="L214" s="1">
        <v>9</v>
      </c>
      <c r="M214" s="8">
        <v>0</v>
      </c>
    </row>
    <row r="215" spans="1:13" hidden="1" x14ac:dyDescent="0.25">
      <c r="A215" s="7">
        <v>18</v>
      </c>
      <c r="B215" s="1" t="s">
        <v>37</v>
      </c>
      <c r="C215" s="1">
        <v>1.9</v>
      </c>
      <c r="D215" s="1" t="s">
        <v>38</v>
      </c>
      <c r="E215" s="1">
        <v>5.8</v>
      </c>
      <c r="F215" s="1">
        <v>1.7</v>
      </c>
      <c r="G215" s="1">
        <v>3.52</v>
      </c>
      <c r="H215" s="1">
        <v>0.2</v>
      </c>
      <c r="I215" s="1" t="s">
        <v>36</v>
      </c>
      <c r="J215" s="1">
        <v>6</v>
      </c>
      <c r="K215" s="1">
        <v>5</v>
      </c>
      <c r="L215" s="1">
        <v>1</v>
      </c>
      <c r="M215" s="8">
        <v>0</v>
      </c>
    </row>
    <row r="216" spans="1:13" hidden="1" x14ac:dyDescent="0.25">
      <c r="A216" s="7">
        <v>13</v>
      </c>
      <c r="B216" s="1" t="s">
        <v>34</v>
      </c>
      <c r="C216" s="1">
        <v>5.9</v>
      </c>
      <c r="D216" s="1" t="s">
        <v>35</v>
      </c>
      <c r="E216" s="1">
        <v>7.5</v>
      </c>
      <c r="F216" s="1">
        <v>1.4</v>
      </c>
      <c r="G216" s="1">
        <v>2.58</v>
      </c>
      <c r="H216" s="1">
        <v>1.2</v>
      </c>
      <c r="I216" s="1" t="s">
        <v>36</v>
      </c>
      <c r="J216" s="1">
        <v>6</v>
      </c>
      <c r="K216" s="1">
        <v>2</v>
      </c>
      <c r="L216" s="1">
        <v>8</v>
      </c>
      <c r="M216" s="8">
        <v>0</v>
      </c>
    </row>
    <row r="217" spans="1:13" hidden="1" x14ac:dyDescent="0.25">
      <c r="A217" s="7">
        <v>13</v>
      </c>
      <c r="B217" s="1" t="s">
        <v>37</v>
      </c>
      <c r="C217" s="1">
        <v>6.5</v>
      </c>
      <c r="D217" s="1" t="s">
        <v>38</v>
      </c>
      <c r="E217" s="1">
        <v>8.3000000000000007</v>
      </c>
      <c r="F217" s="1">
        <v>0.6</v>
      </c>
      <c r="G217" s="1">
        <v>3.05</v>
      </c>
      <c r="H217" s="1">
        <v>0.3</v>
      </c>
      <c r="I217" s="1" t="s">
        <v>39</v>
      </c>
      <c r="J217" s="1">
        <v>2</v>
      </c>
      <c r="K217" s="1">
        <v>7</v>
      </c>
      <c r="L217" s="1">
        <v>8</v>
      </c>
      <c r="M217" s="8">
        <v>0</v>
      </c>
    </row>
    <row r="218" spans="1:13" hidden="1" x14ac:dyDescent="0.25">
      <c r="A218" s="7">
        <v>15</v>
      </c>
      <c r="B218" s="1" t="s">
        <v>34</v>
      </c>
      <c r="C218" s="1">
        <v>7.5</v>
      </c>
      <c r="D218" s="1" t="s">
        <v>35</v>
      </c>
      <c r="E218" s="1">
        <v>8.1</v>
      </c>
      <c r="F218" s="1">
        <v>2.5</v>
      </c>
      <c r="G218" s="1">
        <v>3.56</v>
      </c>
      <c r="H218" s="1">
        <v>1.2</v>
      </c>
      <c r="I218" s="1" t="s">
        <v>40</v>
      </c>
      <c r="J218" s="1">
        <v>6</v>
      </c>
      <c r="K218" s="1">
        <v>8</v>
      </c>
      <c r="L218" s="1">
        <v>10</v>
      </c>
      <c r="M218" s="8">
        <v>0</v>
      </c>
    </row>
    <row r="219" spans="1:13" hidden="1" x14ac:dyDescent="0.25">
      <c r="A219" s="7">
        <v>19</v>
      </c>
      <c r="B219" s="1" t="s">
        <v>34</v>
      </c>
      <c r="C219" s="1">
        <v>4.9000000000000004</v>
      </c>
      <c r="D219" s="1" t="s">
        <v>38</v>
      </c>
      <c r="E219" s="1">
        <v>4.5</v>
      </c>
      <c r="F219" s="1">
        <v>2.9</v>
      </c>
      <c r="G219" s="1">
        <v>3.88</v>
      </c>
      <c r="H219" s="1">
        <v>0.8</v>
      </c>
      <c r="I219" s="1" t="s">
        <v>36</v>
      </c>
      <c r="J219" s="1">
        <v>5</v>
      </c>
      <c r="K219" s="1">
        <v>5</v>
      </c>
      <c r="L219" s="1">
        <v>6</v>
      </c>
      <c r="M219" s="8">
        <v>0</v>
      </c>
    </row>
    <row r="220" spans="1:13" hidden="1" x14ac:dyDescent="0.25">
      <c r="A220" s="7">
        <v>13</v>
      </c>
      <c r="B220" s="1" t="s">
        <v>34</v>
      </c>
      <c r="C220" s="1">
        <v>2.2000000000000002</v>
      </c>
      <c r="D220" s="1" t="s">
        <v>38</v>
      </c>
      <c r="E220" s="1">
        <v>5.3</v>
      </c>
      <c r="F220" s="1">
        <v>1.4</v>
      </c>
      <c r="G220" s="1">
        <v>3.97</v>
      </c>
      <c r="H220" s="1">
        <v>0</v>
      </c>
      <c r="I220" s="1" t="s">
        <v>36</v>
      </c>
      <c r="J220" s="1">
        <v>1</v>
      </c>
      <c r="K220" s="1">
        <v>10</v>
      </c>
      <c r="L220" s="1">
        <v>7</v>
      </c>
      <c r="M220" s="8">
        <v>0</v>
      </c>
    </row>
    <row r="221" spans="1:13" hidden="1" x14ac:dyDescent="0.25">
      <c r="A221" s="7">
        <v>14</v>
      </c>
      <c r="B221" s="1" t="s">
        <v>34</v>
      </c>
      <c r="C221" s="1">
        <v>5.8</v>
      </c>
      <c r="D221" s="1" t="s">
        <v>41</v>
      </c>
      <c r="E221" s="1">
        <v>6.9</v>
      </c>
      <c r="F221" s="1">
        <v>0.7</v>
      </c>
      <c r="G221" s="1">
        <v>3.01</v>
      </c>
      <c r="H221" s="1">
        <v>1.9</v>
      </c>
      <c r="I221" s="1" t="s">
        <v>39</v>
      </c>
      <c r="J221" s="1">
        <v>9</v>
      </c>
      <c r="K221" s="1">
        <v>9</v>
      </c>
      <c r="L221" s="1">
        <v>4</v>
      </c>
      <c r="M221" s="8">
        <v>0</v>
      </c>
    </row>
    <row r="222" spans="1:13" hidden="1" x14ac:dyDescent="0.25">
      <c r="A222" s="7">
        <v>14</v>
      </c>
      <c r="B222" s="1" t="s">
        <v>34</v>
      </c>
      <c r="C222" s="1">
        <v>1.3</v>
      </c>
      <c r="D222" s="1" t="s">
        <v>35</v>
      </c>
      <c r="E222" s="1">
        <v>8.5</v>
      </c>
      <c r="F222" s="1">
        <v>0.9</v>
      </c>
      <c r="G222" s="1">
        <v>3.71</v>
      </c>
      <c r="H222" s="1">
        <v>0.7</v>
      </c>
      <c r="I222" s="1" t="s">
        <v>39</v>
      </c>
      <c r="J222" s="1">
        <v>3</v>
      </c>
      <c r="K222" s="1">
        <v>3</v>
      </c>
      <c r="L222" s="1">
        <v>6</v>
      </c>
      <c r="M222" s="8">
        <v>0</v>
      </c>
    </row>
    <row r="223" spans="1:13" hidden="1" x14ac:dyDescent="0.25">
      <c r="A223" s="7">
        <v>19</v>
      </c>
      <c r="B223" s="1" t="s">
        <v>37</v>
      </c>
      <c r="C223" s="1">
        <v>2.8</v>
      </c>
      <c r="D223" s="1" t="s">
        <v>38</v>
      </c>
      <c r="E223" s="1">
        <v>4.8</v>
      </c>
      <c r="F223" s="1">
        <v>1.7</v>
      </c>
      <c r="G223" s="1">
        <v>2.8</v>
      </c>
      <c r="H223" s="1">
        <v>0.6</v>
      </c>
      <c r="I223" s="1" t="s">
        <v>36</v>
      </c>
      <c r="J223" s="1">
        <v>5</v>
      </c>
      <c r="K223" s="1">
        <v>7</v>
      </c>
      <c r="L223" s="1">
        <v>4</v>
      </c>
      <c r="M223" s="8">
        <v>0</v>
      </c>
    </row>
    <row r="224" spans="1:13" hidden="1" x14ac:dyDescent="0.25">
      <c r="A224" s="7">
        <v>19</v>
      </c>
      <c r="B224" s="1" t="s">
        <v>37</v>
      </c>
      <c r="C224" s="1">
        <v>4</v>
      </c>
      <c r="D224" s="1" t="s">
        <v>38</v>
      </c>
      <c r="E224" s="1">
        <v>6.5</v>
      </c>
      <c r="F224" s="1">
        <v>2.4</v>
      </c>
      <c r="G224" s="1">
        <v>3.67</v>
      </c>
      <c r="H224" s="1">
        <v>0.6</v>
      </c>
      <c r="I224" s="1" t="s">
        <v>36</v>
      </c>
      <c r="J224" s="1">
        <v>4</v>
      </c>
      <c r="K224" s="1">
        <v>6</v>
      </c>
      <c r="L224" s="1">
        <v>4</v>
      </c>
      <c r="M224" s="8">
        <v>0</v>
      </c>
    </row>
    <row r="225" spans="1:13" hidden="1" x14ac:dyDescent="0.25">
      <c r="A225" s="7">
        <v>14</v>
      </c>
      <c r="B225" s="1" t="s">
        <v>37</v>
      </c>
      <c r="C225" s="1">
        <v>1.7</v>
      </c>
      <c r="D225" s="1" t="s">
        <v>38</v>
      </c>
      <c r="E225" s="1">
        <v>4.9000000000000004</v>
      </c>
      <c r="F225" s="1">
        <v>1.6</v>
      </c>
      <c r="G225" s="1">
        <v>2.36</v>
      </c>
      <c r="H225" s="1">
        <v>1.7</v>
      </c>
      <c r="I225" s="1" t="s">
        <v>39</v>
      </c>
      <c r="J225" s="1">
        <v>3</v>
      </c>
      <c r="K225" s="1">
        <v>1</v>
      </c>
      <c r="L225" s="1">
        <v>6</v>
      </c>
      <c r="M225" s="8">
        <v>0</v>
      </c>
    </row>
    <row r="226" spans="1:13" hidden="1" x14ac:dyDescent="0.25">
      <c r="A226" s="7">
        <v>18</v>
      </c>
      <c r="B226" s="1" t="s">
        <v>37</v>
      </c>
      <c r="C226" s="1">
        <v>1.4</v>
      </c>
      <c r="D226" s="1" t="s">
        <v>38</v>
      </c>
      <c r="E226" s="1">
        <v>6.1</v>
      </c>
      <c r="F226" s="1">
        <v>1.6</v>
      </c>
      <c r="G226" s="1">
        <v>2.56</v>
      </c>
      <c r="H226" s="1">
        <v>1.2</v>
      </c>
      <c r="I226" s="1" t="s">
        <v>39</v>
      </c>
      <c r="J226" s="1">
        <v>2</v>
      </c>
      <c r="K226" s="1">
        <v>7</v>
      </c>
      <c r="L226" s="1">
        <v>8</v>
      </c>
      <c r="M226" s="8">
        <v>0</v>
      </c>
    </row>
    <row r="227" spans="1:13" hidden="1" x14ac:dyDescent="0.25">
      <c r="A227" s="7">
        <v>19</v>
      </c>
      <c r="B227" s="1" t="s">
        <v>34</v>
      </c>
      <c r="C227" s="1">
        <v>2.2999999999999998</v>
      </c>
      <c r="D227" s="1" t="s">
        <v>38</v>
      </c>
      <c r="E227" s="1">
        <v>6.5</v>
      </c>
      <c r="F227" s="1">
        <v>3</v>
      </c>
      <c r="G227" s="1">
        <v>3.5</v>
      </c>
      <c r="H227" s="1">
        <v>0.1</v>
      </c>
      <c r="I227" s="1" t="s">
        <v>39</v>
      </c>
      <c r="J227" s="1">
        <v>9</v>
      </c>
      <c r="K227" s="1">
        <v>10</v>
      </c>
      <c r="L227" s="1">
        <v>8</v>
      </c>
      <c r="M227" s="8">
        <v>0</v>
      </c>
    </row>
    <row r="228" spans="1:13" hidden="1" x14ac:dyDescent="0.25">
      <c r="A228" s="7">
        <v>14</v>
      </c>
      <c r="B228" s="1" t="s">
        <v>34</v>
      </c>
      <c r="C228" s="1">
        <v>3.8</v>
      </c>
      <c r="D228" s="1" t="s">
        <v>35</v>
      </c>
      <c r="E228" s="1">
        <v>5.3</v>
      </c>
      <c r="F228" s="1">
        <v>1</v>
      </c>
      <c r="G228" s="1">
        <v>2.2799999999999998</v>
      </c>
      <c r="H228" s="1">
        <v>1.2</v>
      </c>
      <c r="I228" s="1" t="s">
        <v>36</v>
      </c>
      <c r="J228" s="1">
        <v>9</v>
      </c>
      <c r="K228" s="1">
        <v>3</v>
      </c>
      <c r="L228" s="1">
        <v>1</v>
      </c>
      <c r="M228" s="8">
        <v>0</v>
      </c>
    </row>
    <row r="229" spans="1:13" hidden="1" x14ac:dyDescent="0.25">
      <c r="A229" s="7">
        <v>13</v>
      </c>
      <c r="B229" s="1" t="s">
        <v>34</v>
      </c>
      <c r="C229" s="1">
        <v>6.4</v>
      </c>
      <c r="D229" s="1" t="s">
        <v>38</v>
      </c>
      <c r="E229" s="1">
        <v>5.0999999999999996</v>
      </c>
      <c r="F229" s="1">
        <v>2.5</v>
      </c>
      <c r="G229" s="1">
        <v>2.62</v>
      </c>
      <c r="H229" s="1">
        <v>1.3</v>
      </c>
      <c r="I229" s="1" t="s">
        <v>36</v>
      </c>
      <c r="J229" s="1">
        <v>5</v>
      </c>
      <c r="K229" s="1">
        <v>4</v>
      </c>
      <c r="L229" s="1">
        <v>7</v>
      </c>
      <c r="M229" s="8">
        <v>0</v>
      </c>
    </row>
    <row r="230" spans="1:13" hidden="1" x14ac:dyDescent="0.25">
      <c r="A230" s="7">
        <v>19</v>
      </c>
      <c r="B230" s="1" t="s">
        <v>34</v>
      </c>
      <c r="C230" s="1">
        <v>6</v>
      </c>
      <c r="D230" s="1" t="s">
        <v>41</v>
      </c>
      <c r="E230" s="1">
        <v>7.1</v>
      </c>
      <c r="F230" s="1">
        <v>0.9</v>
      </c>
      <c r="G230" s="1">
        <v>2.98</v>
      </c>
      <c r="H230" s="1">
        <v>0.1</v>
      </c>
      <c r="I230" s="1" t="s">
        <v>36</v>
      </c>
      <c r="J230" s="1">
        <v>1</v>
      </c>
      <c r="K230" s="1">
        <v>6</v>
      </c>
      <c r="L230" s="1">
        <v>5</v>
      </c>
      <c r="M230" s="8">
        <v>0</v>
      </c>
    </row>
    <row r="231" spans="1:13" hidden="1" x14ac:dyDescent="0.25">
      <c r="A231" s="7">
        <v>16</v>
      </c>
      <c r="B231" s="1" t="s">
        <v>34</v>
      </c>
      <c r="C231" s="1">
        <v>1.9</v>
      </c>
      <c r="D231" s="1" t="s">
        <v>35</v>
      </c>
      <c r="E231" s="1">
        <v>7.8</v>
      </c>
      <c r="F231" s="1">
        <v>2.1</v>
      </c>
      <c r="G231" s="1">
        <v>2.2599999999999998</v>
      </c>
      <c r="H231" s="1">
        <v>0.3</v>
      </c>
      <c r="I231" s="1" t="s">
        <v>39</v>
      </c>
      <c r="J231" s="1">
        <v>7</v>
      </c>
      <c r="K231" s="1">
        <v>7</v>
      </c>
      <c r="L231" s="1">
        <v>5</v>
      </c>
      <c r="M231" s="8">
        <v>0</v>
      </c>
    </row>
    <row r="232" spans="1:13" hidden="1" x14ac:dyDescent="0.25">
      <c r="A232" s="7">
        <v>17</v>
      </c>
      <c r="B232" s="1" t="s">
        <v>34</v>
      </c>
      <c r="C232" s="1">
        <v>2.4</v>
      </c>
      <c r="D232" s="1" t="s">
        <v>38</v>
      </c>
      <c r="E232" s="1">
        <v>8.5</v>
      </c>
      <c r="F232" s="1">
        <v>2.4</v>
      </c>
      <c r="G232" s="1">
        <v>2.79</v>
      </c>
      <c r="H232" s="1">
        <v>1.1000000000000001</v>
      </c>
      <c r="I232" s="1" t="s">
        <v>36</v>
      </c>
      <c r="J232" s="1">
        <v>1</v>
      </c>
      <c r="K232" s="1">
        <v>6</v>
      </c>
      <c r="L232" s="1">
        <v>7</v>
      </c>
      <c r="M232" s="8">
        <v>0</v>
      </c>
    </row>
    <row r="233" spans="1:13" x14ac:dyDescent="0.25">
      <c r="A233" s="7">
        <v>14</v>
      </c>
      <c r="B233" s="1" t="s">
        <v>37</v>
      </c>
      <c r="C233" s="1">
        <v>2.7</v>
      </c>
      <c r="D233" s="1" t="s">
        <v>35</v>
      </c>
      <c r="E233" s="1">
        <v>5.0999999999999996</v>
      </c>
      <c r="F233" s="1">
        <v>2.4</v>
      </c>
      <c r="G233" s="1">
        <v>2.17</v>
      </c>
      <c r="H233" s="1">
        <v>1.8</v>
      </c>
      <c r="I233" s="1" t="s">
        <v>39</v>
      </c>
      <c r="J233" s="1">
        <v>3</v>
      </c>
      <c r="K233" s="1">
        <v>10</v>
      </c>
      <c r="L233" s="1">
        <v>8</v>
      </c>
      <c r="M233" s="8">
        <v>0</v>
      </c>
    </row>
    <row r="234" spans="1:13" hidden="1" x14ac:dyDescent="0.25">
      <c r="A234" s="7">
        <v>14</v>
      </c>
      <c r="B234" s="1" t="s">
        <v>34</v>
      </c>
      <c r="C234" s="1">
        <v>1.5</v>
      </c>
      <c r="D234" s="1" t="s">
        <v>41</v>
      </c>
      <c r="E234" s="1">
        <v>7.2</v>
      </c>
      <c r="F234" s="1">
        <v>1.7</v>
      </c>
      <c r="G234" s="1">
        <v>2.76</v>
      </c>
      <c r="H234" s="1">
        <v>0</v>
      </c>
      <c r="I234" s="1" t="s">
        <v>36</v>
      </c>
      <c r="J234" s="1">
        <v>10</v>
      </c>
      <c r="K234" s="1">
        <v>7</v>
      </c>
      <c r="L234" s="1">
        <v>10</v>
      </c>
      <c r="M234" s="8">
        <v>0</v>
      </c>
    </row>
    <row r="235" spans="1:13" hidden="1" x14ac:dyDescent="0.25">
      <c r="A235" s="7">
        <v>18</v>
      </c>
      <c r="B235" s="1" t="s">
        <v>34</v>
      </c>
      <c r="C235" s="1">
        <v>7.7</v>
      </c>
      <c r="D235" s="1" t="s">
        <v>35</v>
      </c>
      <c r="E235" s="1">
        <v>7.3</v>
      </c>
      <c r="F235" s="1">
        <v>1.8</v>
      </c>
      <c r="G235" s="1">
        <v>3.13</v>
      </c>
      <c r="H235" s="1">
        <v>2</v>
      </c>
      <c r="I235" s="1" t="s">
        <v>40</v>
      </c>
      <c r="J235" s="1">
        <v>7</v>
      </c>
      <c r="K235" s="1">
        <v>9</v>
      </c>
      <c r="L235" s="1">
        <v>7</v>
      </c>
      <c r="M235" s="8">
        <v>0</v>
      </c>
    </row>
    <row r="236" spans="1:13" hidden="1" x14ac:dyDescent="0.25">
      <c r="A236" s="7">
        <v>13</v>
      </c>
      <c r="B236" s="1" t="s">
        <v>34</v>
      </c>
      <c r="C236" s="1">
        <v>2.9</v>
      </c>
      <c r="D236" s="1" t="s">
        <v>38</v>
      </c>
      <c r="E236" s="1">
        <v>5.0999999999999996</v>
      </c>
      <c r="F236" s="1">
        <v>2.2000000000000002</v>
      </c>
      <c r="G236" s="1">
        <v>3.81</v>
      </c>
      <c r="H236" s="1">
        <v>0.7</v>
      </c>
      <c r="I236" s="1" t="s">
        <v>36</v>
      </c>
      <c r="J236" s="1">
        <v>6</v>
      </c>
      <c r="K236" s="1">
        <v>6</v>
      </c>
      <c r="L236" s="1">
        <v>10</v>
      </c>
      <c r="M236" s="8">
        <v>0</v>
      </c>
    </row>
    <row r="237" spans="1:13" hidden="1" x14ac:dyDescent="0.25">
      <c r="A237" s="7">
        <v>16</v>
      </c>
      <c r="B237" s="1" t="s">
        <v>34</v>
      </c>
      <c r="C237" s="1">
        <v>7.6</v>
      </c>
      <c r="D237" s="1" t="s">
        <v>38</v>
      </c>
      <c r="E237" s="1">
        <v>4.3</v>
      </c>
      <c r="F237" s="1">
        <v>2.7</v>
      </c>
      <c r="G237" s="1">
        <v>2.5099999999999998</v>
      </c>
      <c r="H237" s="1">
        <v>0.3</v>
      </c>
      <c r="I237" s="1" t="s">
        <v>40</v>
      </c>
      <c r="J237" s="1">
        <v>3</v>
      </c>
      <c r="K237" s="1">
        <v>9</v>
      </c>
      <c r="L237" s="1">
        <v>10</v>
      </c>
      <c r="M237" s="8">
        <v>0</v>
      </c>
    </row>
    <row r="238" spans="1:13" hidden="1" x14ac:dyDescent="0.25">
      <c r="A238" s="7">
        <v>18</v>
      </c>
      <c r="B238" s="1" t="s">
        <v>34</v>
      </c>
      <c r="C238" s="1">
        <v>5.7</v>
      </c>
      <c r="D238" s="1" t="s">
        <v>41</v>
      </c>
      <c r="E238" s="1">
        <v>8.4</v>
      </c>
      <c r="F238" s="1">
        <v>2.4</v>
      </c>
      <c r="G238" s="1">
        <v>2.84</v>
      </c>
      <c r="H238" s="1">
        <v>0.7</v>
      </c>
      <c r="I238" s="1" t="s">
        <v>36</v>
      </c>
      <c r="J238" s="1">
        <v>5</v>
      </c>
      <c r="K238" s="1">
        <v>4</v>
      </c>
      <c r="L238" s="1">
        <v>9</v>
      </c>
      <c r="M238" s="8">
        <v>0</v>
      </c>
    </row>
    <row r="239" spans="1:13" hidden="1" x14ac:dyDescent="0.25">
      <c r="A239" s="7">
        <v>19</v>
      </c>
      <c r="B239" s="1" t="s">
        <v>34</v>
      </c>
      <c r="C239" s="1">
        <v>1.2</v>
      </c>
      <c r="D239" s="1" t="s">
        <v>38</v>
      </c>
      <c r="E239" s="1">
        <v>5</v>
      </c>
      <c r="F239" s="1">
        <v>1.5</v>
      </c>
      <c r="G239" s="1">
        <v>2.09</v>
      </c>
      <c r="H239" s="1">
        <v>0.6</v>
      </c>
      <c r="I239" s="1" t="s">
        <v>40</v>
      </c>
      <c r="J239" s="1">
        <v>5</v>
      </c>
      <c r="K239" s="1">
        <v>2</v>
      </c>
      <c r="L239" s="1">
        <v>1</v>
      </c>
      <c r="M239" s="8">
        <v>0</v>
      </c>
    </row>
    <row r="240" spans="1:13" hidden="1" x14ac:dyDescent="0.25">
      <c r="A240" s="7">
        <v>16</v>
      </c>
      <c r="B240" s="1" t="s">
        <v>37</v>
      </c>
      <c r="C240" s="1">
        <v>2.4</v>
      </c>
      <c r="D240" s="1" t="s">
        <v>41</v>
      </c>
      <c r="E240" s="1">
        <v>6.2</v>
      </c>
      <c r="F240" s="1">
        <v>1.6</v>
      </c>
      <c r="G240" s="1">
        <v>2.38</v>
      </c>
      <c r="H240" s="1">
        <v>0</v>
      </c>
      <c r="I240" s="1" t="s">
        <v>40</v>
      </c>
      <c r="J240" s="1">
        <v>8</v>
      </c>
      <c r="K240" s="1">
        <v>4</v>
      </c>
      <c r="L240" s="1">
        <v>10</v>
      </c>
      <c r="M240" s="8">
        <v>0</v>
      </c>
    </row>
    <row r="241" spans="1:13" hidden="1" x14ac:dyDescent="0.25">
      <c r="A241" s="7">
        <v>17</v>
      </c>
      <c r="B241" s="1" t="s">
        <v>37</v>
      </c>
      <c r="C241" s="1">
        <v>6.2</v>
      </c>
      <c r="D241" s="1" t="s">
        <v>41</v>
      </c>
      <c r="E241" s="1">
        <v>5.0999999999999996</v>
      </c>
      <c r="F241" s="1">
        <v>2</v>
      </c>
      <c r="G241" s="1">
        <v>3.82</v>
      </c>
      <c r="H241" s="1">
        <v>1.7</v>
      </c>
      <c r="I241" s="1" t="s">
        <v>40</v>
      </c>
      <c r="J241" s="1">
        <v>7</v>
      </c>
      <c r="K241" s="1">
        <v>3</v>
      </c>
      <c r="L241" s="1">
        <v>5</v>
      </c>
      <c r="M241" s="8">
        <v>0</v>
      </c>
    </row>
    <row r="242" spans="1:13" x14ac:dyDescent="0.25">
      <c r="A242" s="7">
        <v>14</v>
      </c>
      <c r="B242" s="1" t="s">
        <v>37</v>
      </c>
      <c r="C242" s="1">
        <v>4.7</v>
      </c>
      <c r="D242" s="1" t="s">
        <v>35</v>
      </c>
      <c r="E242" s="1">
        <v>5.0999999999999996</v>
      </c>
      <c r="F242" s="1">
        <v>2.2000000000000002</v>
      </c>
      <c r="G242" s="1">
        <v>2.0299999999999998</v>
      </c>
      <c r="H242" s="1">
        <v>1.1000000000000001</v>
      </c>
      <c r="I242" s="1" t="s">
        <v>40</v>
      </c>
      <c r="J242" s="1">
        <v>2</v>
      </c>
      <c r="K242" s="1">
        <v>10</v>
      </c>
      <c r="L242" s="1">
        <v>7</v>
      </c>
      <c r="M242" s="8">
        <v>0</v>
      </c>
    </row>
    <row r="243" spans="1:13" hidden="1" x14ac:dyDescent="0.25">
      <c r="A243" s="7">
        <v>19</v>
      </c>
      <c r="B243" s="1" t="s">
        <v>34</v>
      </c>
      <c r="C243" s="1">
        <v>5.3</v>
      </c>
      <c r="D243" s="1" t="s">
        <v>35</v>
      </c>
      <c r="E243" s="1">
        <v>6.7</v>
      </c>
      <c r="F243" s="1">
        <v>0.7</v>
      </c>
      <c r="G243" s="1">
        <v>3.59</v>
      </c>
      <c r="H243" s="1">
        <v>1.8</v>
      </c>
      <c r="I243" s="1" t="s">
        <v>39</v>
      </c>
      <c r="J243" s="1">
        <v>4</v>
      </c>
      <c r="K243" s="1">
        <v>8</v>
      </c>
      <c r="L243" s="1">
        <v>8</v>
      </c>
      <c r="M243" s="8">
        <v>0</v>
      </c>
    </row>
    <row r="244" spans="1:13" hidden="1" x14ac:dyDescent="0.25">
      <c r="A244" s="7">
        <v>19</v>
      </c>
      <c r="B244" s="1" t="s">
        <v>37</v>
      </c>
      <c r="C244" s="1">
        <v>6</v>
      </c>
      <c r="D244" s="1" t="s">
        <v>38</v>
      </c>
      <c r="E244" s="1">
        <v>6</v>
      </c>
      <c r="F244" s="1">
        <v>0.7</v>
      </c>
      <c r="G244" s="1">
        <v>3.29</v>
      </c>
      <c r="H244" s="1">
        <v>1.4</v>
      </c>
      <c r="I244" s="1" t="s">
        <v>36</v>
      </c>
      <c r="J244" s="1">
        <v>4</v>
      </c>
      <c r="K244" s="1">
        <v>5</v>
      </c>
      <c r="L244" s="1">
        <v>1</v>
      </c>
      <c r="M244" s="8">
        <v>0</v>
      </c>
    </row>
    <row r="245" spans="1:13" hidden="1" x14ac:dyDescent="0.25">
      <c r="A245" s="7">
        <v>16</v>
      </c>
      <c r="B245" s="1" t="s">
        <v>37</v>
      </c>
      <c r="C245" s="1">
        <v>7.8</v>
      </c>
      <c r="D245" s="1" t="s">
        <v>38</v>
      </c>
      <c r="E245" s="1">
        <v>4.7</v>
      </c>
      <c r="F245" s="1">
        <v>2.1</v>
      </c>
      <c r="G245" s="1">
        <v>2.48</v>
      </c>
      <c r="H245" s="1">
        <v>2</v>
      </c>
      <c r="I245" s="1" t="s">
        <v>36</v>
      </c>
      <c r="J245" s="1">
        <v>8</v>
      </c>
      <c r="K245" s="1">
        <v>3</v>
      </c>
      <c r="L245" s="1">
        <v>1</v>
      </c>
      <c r="M245" s="8">
        <v>0</v>
      </c>
    </row>
    <row r="246" spans="1:13" hidden="1" x14ac:dyDescent="0.25">
      <c r="A246" s="7">
        <v>14</v>
      </c>
      <c r="B246" s="1" t="s">
        <v>37</v>
      </c>
      <c r="C246" s="1">
        <v>4.4000000000000004</v>
      </c>
      <c r="D246" s="1" t="s">
        <v>41</v>
      </c>
      <c r="E246" s="1">
        <v>4.2</v>
      </c>
      <c r="F246" s="1">
        <v>2.6</v>
      </c>
      <c r="G246" s="1">
        <v>2.2799999999999998</v>
      </c>
      <c r="H246" s="1">
        <v>1.3</v>
      </c>
      <c r="I246" s="1" t="s">
        <v>40</v>
      </c>
      <c r="J246" s="1">
        <v>8</v>
      </c>
      <c r="K246" s="1">
        <v>10</v>
      </c>
      <c r="L246" s="1">
        <v>4</v>
      </c>
      <c r="M246" s="8">
        <v>0</v>
      </c>
    </row>
    <row r="247" spans="1:13" hidden="1" x14ac:dyDescent="0.25">
      <c r="A247" s="7">
        <v>17</v>
      </c>
      <c r="B247" s="1" t="s">
        <v>34</v>
      </c>
      <c r="C247" s="1">
        <v>6.7</v>
      </c>
      <c r="D247" s="1" t="s">
        <v>35</v>
      </c>
      <c r="E247" s="1">
        <v>7.6</v>
      </c>
      <c r="F247" s="1">
        <v>2.4</v>
      </c>
      <c r="G247" s="1">
        <v>3.59</v>
      </c>
      <c r="H247" s="1">
        <v>0.4</v>
      </c>
      <c r="I247" s="1" t="s">
        <v>40</v>
      </c>
      <c r="J247" s="1">
        <v>9</v>
      </c>
      <c r="K247" s="1">
        <v>5</v>
      </c>
      <c r="L247" s="1">
        <v>5</v>
      </c>
      <c r="M247" s="8">
        <v>0</v>
      </c>
    </row>
    <row r="248" spans="1:13" hidden="1" x14ac:dyDescent="0.25">
      <c r="A248" s="7">
        <v>13</v>
      </c>
      <c r="B248" s="1" t="s">
        <v>37</v>
      </c>
      <c r="C248" s="1">
        <v>7.2</v>
      </c>
      <c r="D248" s="1" t="s">
        <v>38</v>
      </c>
      <c r="E248" s="1">
        <v>7.4</v>
      </c>
      <c r="F248" s="1">
        <v>2.2000000000000002</v>
      </c>
      <c r="G248" s="1">
        <v>3.42</v>
      </c>
      <c r="H248" s="1">
        <v>0.1</v>
      </c>
      <c r="I248" s="1" t="s">
        <v>36</v>
      </c>
      <c r="J248" s="1">
        <v>8</v>
      </c>
      <c r="K248" s="1">
        <v>9</v>
      </c>
      <c r="L248" s="1">
        <v>6</v>
      </c>
      <c r="M248" s="8">
        <v>0</v>
      </c>
    </row>
    <row r="249" spans="1:13" hidden="1" x14ac:dyDescent="0.25">
      <c r="A249" s="7">
        <v>18</v>
      </c>
      <c r="B249" s="1" t="s">
        <v>34</v>
      </c>
      <c r="C249" s="1">
        <v>6.1</v>
      </c>
      <c r="D249" s="1" t="s">
        <v>41</v>
      </c>
      <c r="E249" s="1">
        <v>4.4000000000000004</v>
      </c>
      <c r="F249" s="1">
        <v>2.1</v>
      </c>
      <c r="G249" s="1">
        <v>2.23</v>
      </c>
      <c r="H249" s="1">
        <v>1</v>
      </c>
      <c r="I249" s="1" t="s">
        <v>36</v>
      </c>
      <c r="J249" s="1">
        <v>8</v>
      </c>
      <c r="K249" s="1">
        <v>2</v>
      </c>
      <c r="L249" s="1">
        <v>5</v>
      </c>
      <c r="M249" s="8">
        <v>0</v>
      </c>
    </row>
    <row r="250" spans="1:13" hidden="1" x14ac:dyDescent="0.25">
      <c r="A250" s="7">
        <v>16</v>
      </c>
      <c r="B250" s="1" t="s">
        <v>34</v>
      </c>
      <c r="C250" s="1">
        <v>5.4</v>
      </c>
      <c r="D250" s="1" t="s">
        <v>38</v>
      </c>
      <c r="E250" s="1">
        <v>8.6999999999999993</v>
      </c>
      <c r="F250" s="1">
        <v>1.9</v>
      </c>
      <c r="G250" s="1">
        <v>2.67</v>
      </c>
      <c r="H250" s="1">
        <v>1.3</v>
      </c>
      <c r="I250" s="1" t="s">
        <v>36</v>
      </c>
      <c r="J250" s="1">
        <v>1</v>
      </c>
      <c r="K250" s="1">
        <v>5</v>
      </c>
      <c r="L250" s="1">
        <v>7</v>
      </c>
      <c r="M250" s="8">
        <v>0</v>
      </c>
    </row>
    <row r="251" spans="1:13" hidden="1" x14ac:dyDescent="0.25">
      <c r="A251" s="7">
        <v>19</v>
      </c>
      <c r="B251" s="1" t="s">
        <v>34</v>
      </c>
      <c r="C251" s="1">
        <v>2.7</v>
      </c>
      <c r="D251" s="1" t="s">
        <v>41</v>
      </c>
      <c r="E251" s="1">
        <v>7.7</v>
      </c>
      <c r="F251" s="1">
        <v>0.7</v>
      </c>
      <c r="G251" s="1">
        <v>2.2200000000000002</v>
      </c>
      <c r="H251" s="1">
        <v>0.4</v>
      </c>
      <c r="I251" s="1" t="s">
        <v>40</v>
      </c>
      <c r="J251" s="1">
        <v>10</v>
      </c>
      <c r="K251" s="1">
        <v>8</v>
      </c>
      <c r="L251" s="1">
        <v>7</v>
      </c>
      <c r="M251" s="8">
        <v>0</v>
      </c>
    </row>
    <row r="252" spans="1:13" x14ac:dyDescent="0.25">
      <c r="A252" s="7">
        <v>13</v>
      </c>
      <c r="B252" s="1" t="s">
        <v>37</v>
      </c>
      <c r="C252" s="1">
        <v>7.9</v>
      </c>
      <c r="D252" s="1" t="s">
        <v>35</v>
      </c>
      <c r="E252" s="1">
        <v>7.2</v>
      </c>
      <c r="F252" s="1">
        <v>1.5</v>
      </c>
      <c r="G252" s="1">
        <v>2.36</v>
      </c>
      <c r="H252" s="1">
        <v>0.2</v>
      </c>
      <c r="I252" s="1" t="s">
        <v>40</v>
      </c>
      <c r="J252" s="1">
        <v>2</v>
      </c>
      <c r="K252" s="1">
        <v>6</v>
      </c>
      <c r="L252" s="1">
        <v>8</v>
      </c>
      <c r="M252" s="8">
        <v>0</v>
      </c>
    </row>
    <row r="253" spans="1:13" hidden="1" x14ac:dyDescent="0.25">
      <c r="A253" s="7">
        <v>13</v>
      </c>
      <c r="B253" s="1" t="s">
        <v>34</v>
      </c>
      <c r="C253" s="1">
        <v>4.5999999999999996</v>
      </c>
      <c r="D253" s="1" t="s">
        <v>38</v>
      </c>
      <c r="E253" s="1">
        <v>7.3</v>
      </c>
      <c r="F253" s="1">
        <v>1.6</v>
      </c>
      <c r="G253" s="1">
        <v>2.91</v>
      </c>
      <c r="H253" s="1">
        <v>0.4</v>
      </c>
      <c r="I253" s="1" t="s">
        <v>36</v>
      </c>
      <c r="J253" s="1">
        <v>10</v>
      </c>
      <c r="K253" s="1">
        <v>5</v>
      </c>
      <c r="L253" s="1">
        <v>7</v>
      </c>
      <c r="M253" s="8">
        <v>0</v>
      </c>
    </row>
    <row r="254" spans="1:13" hidden="1" x14ac:dyDescent="0.25">
      <c r="A254" s="7">
        <v>13</v>
      </c>
      <c r="B254" s="1" t="s">
        <v>34</v>
      </c>
      <c r="C254" s="1">
        <v>5.6</v>
      </c>
      <c r="D254" s="1" t="s">
        <v>35</v>
      </c>
      <c r="E254" s="1">
        <v>4.5999999999999996</v>
      </c>
      <c r="F254" s="1">
        <v>1.9</v>
      </c>
      <c r="G254" s="1">
        <v>2.54</v>
      </c>
      <c r="H254" s="1">
        <v>0.1</v>
      </c>
      <c r="I254" s="1" t="s">
        <v>36</v>
      </c>
      <c r="J254" s="1">
        <v>5</v>
      </c>
      <c r="K254" s="1">
        <v>5</v>
      </c>
      <c r="L254" s="1">
        <v>6</v>
      </c>
      <c r="M254" s="8">
        <v>0</v>
      </c>
    </row>
    <row r="255" spans="1:13" hidden="1" x14ac:dyDescent="0.25">
      <c r="A255" s="7">
        <v>17</v>
      </c>
      <c r="B255" s="1" t="s">
        <v>37</v>
      </c>
      <c r="C255" s="1">
        <v>6.5</v>
      </c>
      <c r="D255" s="1" t="s">
        <v>38</v>
      </c>
      <c r="E255" s="1">
        <v>6.4</v>
      </c>
      <c r="F255" s="1">
        <v>0.7</v>
      </c>
      <c r="G255" s="1">
        <v>3.57</v>
      </c>
      <c r="H255" s="1">
        <v>1.1000000000000001</v>
      </c>
      <c r="I255" s="1" t="s">
        <v>36</v>
      </c>
      <c r="J255" s="1">
        <v>2</v>
      </c>
      <c r="K255" s="1">
        <v>9</v>
      </c>
      <c r="L255" s="1">
        <v>6</v>
      </c>
      <c r="M255" s="8">
        <v>0</v>
      </c>
    </row>
    <row r="256" spans="1:13" hidden="1" x14ac:dyDescent="0.25">
      <c r="A256" s="7">
        <v>19</v>
      </c>
      <c r="B256" s="1" t="s">
        <v>34</v>
      </c>
      <c r="C256" s="1">
        <v>5.9</v>
      </c>
      <c r="D256" s="1" t="s">
        <v>41</v>
      </c>
      <c r="E256" s="1">
        <v>7.2</v>
      </c>
      <c r="F256" s="1">
        <v>0.9</v>
      </c>
      <c r="G256" s="1">
        <v>3.99</v>
      </c>
      <c r="H256" s="1">
        <v>1.7</v>
      </c>
      <c r="I256" s="1" t="s">
        <v>36</v>
      </c>
      <c r="J256" s="1">
        <v>7</v>
      </c>
      <c r="K256" s="1">
        <v>9</v>
      </c>
      <c r="L256" s="1">
        <v>3</v>
      </c>
      <c r="M256" s="8">
        <v>0</v>
      </c>
    </row>
    <row r="257" spans="1:13" hidden="1" x14ac:dyDescent="0.25">
      <c r="A257" s="7">
        <v>19</v>
      </c>
      <c r="B257" s="1" t="s">
        <v>37</v>
      </c>
      <c r="C257" s="1">
        <v>1.1000000000000001</v>
      </c>
      <c r="D257" s="1" t="s">
        <v>38</v>
      </c>
      <c r="E257" s="1">
        <v>5.0999999999999996</v>
      </c>
      <c r="F257" s="1">
        <v>2.2000000000000002</v>
      </c>
      <c r="G257" s="1">
        <v>2.13</v>
      </c>
      <c r="H257" s="1">
        <v>0.9</v>
      </c>
      <c r="I257" s="1" t="s">
        <v>36</v>
      </c>
      <c r="J257" s="1">
        <v>7</v>
      </c>
      <c r="K257" s="1">
        <v>7</v>
      </c>
      <c r="L257" s="1">
        <v>2</v>
      </c>
      <c r="M257" s="8">
        <v>0</v>
      </c>
    </row>
    <row r="258" spans="1:13" hidden="1" x14ac:dyDescent="0.25">
      <c r="A258" s="7">
        <v>18</v>
      </c>
      <c r="B258" s="1" t="s">
        <v>34</v>
      </c>
      <c r="C258" s="1">
        <v>3.2</v>
      </c>
      <c r="D258" s="1" t="s">
        <v>38</v>
      </c>
      <c r="E258" s="1">
        <v>5.0999999999999996</v>
      </c>
      <c r="F258" s="1">
        <v>1.2</v>
      </c>
      <c r="G258" s="1">
        <v>3.54</v>
      </c>
      <c r="H258" s="1">
        <v>1.3</v>
      </c>
      <c r="I258" s="1" t="s">
        <v>36</v>
      </c>
      <c r="J258" s="1">
        <v>6</v>
      </c>
      <c r="K258" s="1">
        <v>2</v>
      </c>
      <c r="L258" s="1">
        <v>8</v>
      </c>
      <c r="M258" s="8">
        <v>0</v>
      </c>
    </row>
    <row r="259" spans="1:13" hidden="1" x14ac:dyDescent="0.25">
      <c r="A259" s="7">
        <v>14</v>
      </c>
      <c r="B259" s="1" t="s">
        <v>34</v>
      </c>
      <c r="C259" s="1">
        <v>6.5</v>
      </c>
      <c r="D259" s="1" t="s">
        <v>35</v>
      </c>
      <c r="E259" s="1">
        <v>5.3</v>
      </c>
      <c r="F259" s="1">
        <v>2.7</v>
      </c>
      <c r="G259" s="1">
        <v>3.79</v>
      </c>
      <c r="H259" s="1">
        <v>0.8</v>
      </c>
      <c r="I259" s="1" t="s">
        <v>36</v>
      </c>
      <c r="J259" s="1">
        <v>8</v>
      </c>
      <c r="K259" s="1">
        <v>6</v>
      </c>
      <c r="L259" s="1">
        <v>4</v>
      </c>
      <c r="M259" s="8">
        <v>0</v>
      </c>
    </row>
    <row r="260" spans="1:13" x14ac:dyDescent="0.25">
      <c r="A260" s="7">
        <v>17</v>
      </c>
      <c r="B260" s="1" t="s">
        <v>37</v>
      </c>
      <c r="C260" s="1">
        <v>7.3</v>
      </c>
      <c r="D260" s="1" t="s">
        <v>35</v>
      </c>
      <c r="E260" s="1">
        <v>6.2</v>
      </c>
      <c r="F260" s="1">
        <v>1</v>
      </c>
      <c r="G260" s="1">
        <v>2.02</v>
      </c>
      <c r="H260" s="1">
        <v>0.2</v>
      </c>
      <c r="I260" s="1" t="s">
        <v>36</v>
      </c>
      <c r="J260" s="1">
        <v>1</v>
      </c>
      <c r="K260" s="1">
        <v>6</v>
      </c>
      <c r="L260" s="1">
        <v>3</v>
      </c>
      <c r="M260" s="8">
        <v>0</v>
      </c>
    </row>
    <row r="261" spans="1:13" hidden="1" x14ac:dyDescent="0.25">
      <c r="A261" s="7">
        <v>17</v>
      </c>
      <c r="B261" s="1" t="s">
        <v>34</v>
      </c>
      <c r="C261" s="1">
        <v>1.5</v>
      </c>
      <c r="D261" s="1" t="s">
        <v>38</v>
      </c>
      <c r="E261" s="1">
        <v>5.5</v>
      </c>
      <c r="F261" s="1">
        <v>1.7</v>
      </c>
      <c r="G261" s="1">
        <v>2.93</v>
      </c>
      <c r="H261" s="1">
        <v>0.7</v>
      </c>
      <c r="I261" s="1" t="s">
        <v>36</v>
      </c>
      <c r="J261" s="1">
        <v>4</v>
      </c>
      <c r="K261" s="1">
        <v>9</v>
      </c>
      <c r="L261" s="1">
        <v>9</v>
      </c>
      <c r="M261" s="8">
        <v>0</v>
      </c>
    </row>
    <row r="262" spans="1:13" hidden="1" x14ac:dyDescent="0.25">
      <c r="A262" s="7">
        <v>16</v>
      </c>
      <c r="B262" s="1" t="s">
        <v>34</v>
      </c>
      <c r="C262" s="1">
        <v>3.8</v>
      </c>
      <c r="D262" s="1" t="s">
        <v>35</v>
      </c>
      <c r="E262" s="1">
        <v>6.8</v>
      </c>
      <c r="F262" s="1">
        <v>2.4</v>
      </c>
      <c r="G262" s="1">
        <v>3.1</v>
      </c>
      <c r="H262" s="1">
        <v>1.6</v>
      </c>
      <c r="I262" s="1" t="s">
        <v>36</v>
      </c>
      <c r="J262" s="1">
        <v>6</v>
      </c>
      <c r="K262" s="1">
        <v>10</v>
      </c>
      <c r="L262" s="1">
        <v>4</v>
      </c>
      <c r="M262" s="8">
        <v>0</v>
      </c>
    </row>
    <row r="263" spans="1:13" hidden="1" x14ac:dyDescent="0.25">
      <c r="A263" s="7">
        <v>13</v>
      </c>
      <c r="B263" s="1" t="s">
        <v>37</v>
      </c>
      <c r="C263" s="1">
        <v>3.6</v>
      </c>
      <c r="D263" s="1" t="s">
        <v>38</v>
      </c>
      <c r="E263" s="1">
        <v>8.6</v>
      </c>
      <c r="F263" s="1">
        <v>2.8</v>
      </c>
      <c r="G263" s="1">
        <v>3.28</v>
      </c>
      <c r="H263" s="1">
        <v>0.7</v>
      </c>
      <c r="I263" s="1" t="s">
        <v>39</v>
      </c>
      <c r="J263" s="1">
        <v>10</v>
      </c>
      <c r="K263" s="1">
        <v>3</v>
      </c>
      <c r="L263" s="1">
        <v>5</v>
      </c>
      <c r="M263" s="8">
        <v>0</v>
      </c>
    </row>
    <row r="264" spans="1:13" hidden="1" x14ac:dyDescent="0.25">
      <c r="A264" s="7">
        <v>15</v>
      </c>
      <c r="B264" s="1" t="s">
        <v>34</v>
      </c>
      <c r="C264" s="1">
        <v>3.6</v>
      </c>
      <c r="D264" s="1" t="s">
        <v>38</v>
      </c>
      <c r="E264" s="1">
        <v>4.3</v>
      </c>
      <c r="F264" s="1">
        <v>2.9</v>
      </c>
      <c r="G264" s="1">
        <v>2.2000000000000002</v>
      </c>
      <c r="H264" s="1">
        <v>1</v>
      </c>
      <c r="I264" s="1" t="s">
        <v>39</v>
      </c>
      <c r="J264" s="1">
        <v>10</v>
      </c>
      <c r="K264" s="1">
        <v>9</v>
      </c>
      <c r="L264" s="1">
        <v>7</v>
      </c>
      <c r="M264" s="8">
        <v>0</v>
      </c>
    </row>
    <row r="265" spans="1:13" x14ac:dyDescent="0.25">
      <c r="A265" s="7">
        <v>17</v>
      </c>
      <c r="B265" s="1" t="s">
        <v>37</v>
      </c>
      <c r="C265" s="1">
        <v>5.3</v>
      </c>
      <c r="D265" s="1" t="s">
        <v>35</v>
      </c>
      <c r="E265" s="1">
        <v>7.4</v>
      </c>
      <c r="F265" s="1">
        <v>1.2</v>
      </c>
      <c r="G265" s="1">
        <v>3.41</v>
      </c>
      <c r="H265" s="1">
        <v>1.1000000000000001</v>
      </c>
      <c r="I265" s="1" t="s">
        <v>39</v>
      </c>
      <c r="J265" s="1">
        <v>6</v>
      </c>
      <c r="K265" s="1">
        <v>3</v>
      </c>
      <c r="L265" s="1">
        <v>7</v>
      </c>
      <c r="M265" s="8">
        <v>0</v>
      </c>
    </row>
    <row r="266" spans="1:13" hidden="1" x14ac:dyDescent="0.25">
      <c r="A266" s="7">
        <v>19</v>
      </c>
      <c r="B266" s="1" t="s">
        <v>34</v>
      </c>
      <c r="C266" s="1">
        <v>4.4000000000000004</v>
      </c>
      <c r="D266" s="1" t="s">
        <v>38</v>
      </c>
      <c r="E266" s="1">
        <v>4.3</v>
      </c>
      <c r="F266" s="1">
        <v>0.8</v>
      </c>
      <c r="G266" s="1">
        <v>2.44</v>
      </c>
      <c r="H266" s="1">
        <v>1</v>
      </c>
      <c r="I266" s="1" t="s">
        <v>39</v>
      </c>
      <c r="J266" s="1">
        <v>9</v>
      </c>
      <c r="K266" s="1">
        <v>9</v>
      </c>
      <c r="L266" s="1">
        <v>7</v>
      </c>
      <c r="M266" s="8">
        <v>0</v>
      </c>
    </row>
    <row r="267" spans="1:13" hidden="1" x14ac:dyDescent="0.25">
      <c r="A267" s="7">
        <v>18</v>
      </c>
      <c r="B267" s="1" t="s">
        <v>34</v>
      </c>
      <c r="C267" s="1">
        <v>7.7</v>
      </c>
      <c r="D267" s="1" t="s">
        <v>38</v>
      </c>
      <c r="E267" s="1">
        <v>4.7</v>
      </c>
      <c r="F267" s="1">
        <v>1.4</v>
      </c>
      <c r="G267" s="1">
        <v>3.04</v>
      </c>
      <c r="H267" s="1">
        <v>0.6</v>
      </c>
      <c r="I267" s="1" t="s">
        <v>40</v>
      </c>
      <c r="J267" s="1">
        <v>9</v>
      </c>
      <c r="K267" s="1">
        <v>6</v>
      </c>
      <c r="L267" s="1">
        <v>6</v>
      </c>
      <c r="M267" s="8">
        <v>0</v>
      </c>
    </row>
    <row r="268" spans="1:13" hidden="1" x14ac:dyDescent="0.25">
      <c r="A268" s="7">
        <v>14</v>
      </c>
      <c r="B268" s="1" t="s">
        <v>37</v>
      </c>
      <c r="C268" s="1">
        <v>7.1</v>
      </c>
      <c r="D268" s="1" t="s">
        <v>38</v>
      </c>
      <c r="E268" s="1">
        <v>4.5</v>
      </c>
      <c r="F268" s="1">
        <v>2.4</v>
      </c>
      <c r="G268" s="1">
        <v>3.53</v>
      </c>
      <c r="H268" s="1">
        <v>0.4</v>
      </c>
      <c r="I268" s="1" t="s">
        <v>39</v>
      </c>
      <c r="J268" s="1">
        <v>3</v>
      </c>
      <c r="K268" s="1">
        <v>4</v>
      </c>
      <c r="L268" s="1">
        <v>4</v>
      </c>
      <c r="M268" s="8">
        <v>0</v>
      </c>
    </row>
    <row r="269" spans="1:13" hidden="1" x14ac:dyDescent="0.25">
      <c r="A269" s="7">
        <v>16</v>
      </c>
      <c r="B269" s="1" t="s">
        <v>34</v>
      </c>
      <c r="C269" s="1">
        <v>4.9000000000000004</v>
      </c>
      <c r="D269" s="1" t="s">
        <v>35</v>
      </c>
      <c r="E269" s="1">
        <v>6.8</v>
      </c>
      <c r="F269" s="1">
        <v>1</v>
      </c>
      <c r="G269" s="1">
        <v>3.18</v>
      </c>
      <c r="H269" s="1">
        <v>1.9</v>
      </c>
      <c r="I269" s="1" t="s">
        <v>39</v>
      </c>
      <c r="J269" s="1">
        <v>7</v>
      </c>
      <c r="K269" s="1">
        <v>4</v>
      </c>
      <c r="L269" s="1">
        <v>8</v>
      </c>
      <c r="M269" s="8">
        <v>0</v>
      </c>
    </row>
    <row r="270" spans="1:13" hidden="1" x14ac:dyDescent="0.25">
      <c r="A270" s="7">
        <v>19</v>
      </c>
      <c r="B270" s="1" t="s">
        <v>34</v>
      </c>
      <c r="C270" s="1">
        <v>4.5999999999999996</v>
      </c>
      <c r="D270" s="1" t="s">
        <v>41</v>
      </c>
      <c r="E270" s="1">
        <v>8.9</v>
      </c>
      <c r="F270" s="1">
        <v>1.9</v>
      </c>
      <c r="G270" s="1">
        <v>2.5</v>
      </c>
      <c r="H270" s="1">
        <v>0.4</v>
      </c>
      <c r="I270" s="1" t="s">
        <v>40</v>
      </c>
      <c r="J270" s="1">
        <v>8</v>
      </c>
      <c r="K270" s="1">
        <v>1</v>
      </c>
      <c r="L270" s="1">
        <v>3</v>
      </c>
      <c r="M270" s="8">
        <v>0</v>
      </c>
    </row>
    <row r="271" spans="1:13" hidden="1" x14ac:dyDescent="0.25">
      <c r="A271" s="7">
        <v>19</v>
      </c>
      <c r="B271" s="1" t="s">
        <v>34</v>
      </c>
      <c r="C271" s="1">
        <v>1.8</v>
      </c>
      <c r="D271" s="1" t="s">
        <v>35</v>
      </c>
      <c r="E271" s="1">
        <v>6.5</v>
      </c>
      <c r="F271" s="1">
        <v>2.6</v>
      </c>
      <c r="G271" s="1">
        <v>2.75</v>
      </c>
      <c r="H271" s="1">
        <v>1.7</v>
      </c>
      <c r="I271" s="1" t="s">
        <v>39</v>
      </c>
      <c r="J271" s="1">
        <v>7</v>
      </c>
      <c r="K271" s="1">
        <v>6</v>
      </c>
      <c r="L271" s="1">
        <v>1</v>
      </c>
      <c r="M271" s="8">
        <v>0</v>
      </c>
    </row>
    <row r="272" spans="1:13" hidden="1" x14ac:dyDescent="0.25">
      <c r="A272" s="7">
        <v>16</v>
      </c>
      <c r="B272" s="1" t="s">
        <v>34</v>
      </c>
      <c r="C272" s="1">
        <v>4.2</v>
      </c>
      <c r="D272" s="1" t="s">
        <v>41</v>
      </c>
      <c r="E272" s="1">
        <v>5.7</v>
      </c>
      <c r="F272" s="1">
        <v>1</v>
      </c>
      <c r="G272" s="1">
        <v>2.77</v>
      </c>
      <c r="H272" s="1">
        <v>0.1</v>
      </c>
      <c r="I272" s="1" t="s">
        <v>39</v>
      </c>
      <c r="J272" s="1">
        <v>10</v>
      </c>
      <c r="K272" s="1">
        <v>5</v>
      </c>
      <c r="L272" s="1">
        <v>9</v>
      </c>
      <c r="M272" s="8">
        <v>0</v>
      </c>
    </row>
    <row r="273" spans="1:13" hidden="1" x14ac:dyDescent="0.25">
      <c r="A273" s="7">
        <v>16</v>
      </c>
      <c r="B273" s="1" t="s">
        <v>34</v>
      </c>
      <c r="C273" s="1">
        <v>1.5</v>
      </c>
      <c r="D273" s="1" t="s">
        <v>38</v>
      </c>
      <c r="E273" s="1">
        <v>6.7</v>
      </c>
      <c r="F273" s="1">
        <v>0.5</v>
      </c>
      <c r="G273" s="1">
        <v>2.78</v>
      </c>
      <c r="H273" s="1">
        <v>1.2</v>
      </c>
      <c r="I273" s="1" t="s">
        <v>36</v>
      </c>
      <c r="J273" s="1">
        <v>1</v>
      </c>
      <c r="K273" s="1">
        <v>9</v>
      </c>
      <c r="L273" s="1">
        <v>6</v>
      </c>
      <c r="M273" s="8">
        <v>0</v>
      </c>
    </row>
    <row r="274" spans="1:13" hidden="1" x14ac:dyDescent="0.25">
      <c r="A274" s="7">
        <v>19</v>
      </c>
      <c r="B274" s="1" t="s">
        <v>34</v>
      </c>
      <c r="C274" s="1">
        <v>7</v>
      </c>
      <c r="D274" s="1" t="s">
        <v>35</v>
      </c>
      <c r="E274" s="1">
        <v>8.9</v>
      </c>
      <c r="F274" s="1">
        <v>2.8</v>
      </c>
      <c r="G274" s="1">
        <v>2.84</v>
      </c>
      <c r="H274" s="1">
        <v>0.4</v>
      </c>
      <c r="I274" s="1" t="s">
        <v>39</v>
      </c>
      <c r="J274" s="1">
        <v>6</v>
      </c>
      <c r="K274" s="1">
        <v>8</v>
      </c>
      <c r="L274" s="1">
        <v>6</v>
      </c>
      <c r="M274" s="8">
        <v>0</v>
      </c>
    </row>
    <row r="275" spans="1:13" hidden="1" x14ac:dyDescent="0.25">
      <c r="A275" s="7">
        <v>14</v>
      </c>
      <c r="B275" s="1" t="s">
        <v>37</v>
      </c>
      <c r="C275" s="1">
        <v>6.5</v>
      </c>
      <c r="D275" s="1" t="s">
        <v>41</v>
      </c>
      <c r="E275" s="1">
        <v>7.8</v>
      </c>
      <c r="F275" s="1">
        <v>1.5</v>
      </c>
      <c r="G275" s="1">
        <v>3.26</v>
      </c>
      <c r="H275" s="1">
        <v>0.8</v>
      </c>
      <c r="I275" s="1" t="s">
        <v>40</v>
      </c>
      <c r="J275" s="1">
        <v>9</v>
      </c>
      <c r="K275" s="1">
        <v>2</v>
      </c>
      <c r="L275" s="1">
        <v>3</v>
      </c>
      <c r="M275" s="8">
        <v>0</v>
      </c>
    </row>
    <row r="276" spans="1:13" x14ac:dyDescent="0.25">
      <c r="A276" s="7">
        <v>19</v>
      </c>
      <c r="B276" s="1" t="s">
        <v>37</v>
      </c>
      <c r="C276" s="1">
        <v>4.3</v>
      </c>
      <c r="D276" s="1" t="s">
        <v>35</v>
      </c>
      <c r="E276" s="1">
        <v>5.9</v>
      </c>
      <c r="F276" s="1">
        <v>2.1</v>
      </c>
      <c r="G276" s="1">
        <v>2.85</v>
      </c>
      <c r="H276" s="1">
        <v>1.7</v>
      </c>
      <c r="I276" s="1" t="s">
        <v>39</v>
      </c>
      <c r="J276" s="1">
        <v>9</v>
      </c>
      <c r="K276" s="1">
        <v>9</v>
      </c>
      <c r="L276" s="1">
        <v>8</v>
      </c>
      <c r="M276" s="8">
        <v>0</v>
      </c>
    </row>
    <row r="277" spans="1:13" hidden="1" x14ac:dyDescent="0.25">
      <c r="A277" s="7">
        <v>16</v>
      </c>
      <c r="B277" s="1" t="s">
        <v>34</v>
      </c>
      <c r="C277" s="1">
        <v>7.2</v>
      </c>
      <c r="D277" s="1" t="s">
        <v>41</v>
      </c>
      <c r="E277" s="1">
        <v>7.7</v>
      </c>
      <c r="F277" s="1">
        <v>2.5</v>
      </c>
      <c r="G277" s="1">
        <v>2.56</v>
      </c>
      <c r="H277" s="1">
        <v>1.7</v>
      </c>
      <c r="I277" s="1" t="s">
        <v>39</v>
      </c>
      <c r="J277" s="1">
        <v>8</v>
      </c>
      <c r="K277" s="1">
        <v>7</v>
      </c>
      <c r="L277" s="1">
        <v>6</v>
      </c>
      <c r="M277" s="8">
        <v>0</v>
      </c>
    </row>
    <row r="278" spans="1:13" hidden="1" x14ac:dyDescent="0.25">
      <c r="A278" s="7">
        <v>13</v>
      </c>
      <c r="B278" s="1" t="s">
        <v>34</v>
      </c>
      <c r="C278" s="1">
        <v>7</v>
      </c>
      <c r="D278" s="1" t="s">
        <v>41</v>
      </c>
      <c r="E278" s="1">
        <v>4.0999999999999996</v>
      </c>
      <c r="F278" s="1">
        <v>1.9</v>
      </c>
      <c r="G278" s="1">
        <v>2.2999999999999998</v>
      </c>
      <c r="H278" s="1">
        <v>0.3</v>
      </c>
      <c r="I278" s="1" t="s">
        <v>40</v>
      </c>
      <c r="J278" s="1">
        <v>3</v>
      </c>
      <c r="K278" s="1">
        <v>10</v>
      </c>
      <c r="L278" s="1">
        <v>6</v>
      </c>
      <c r="M278" s="8">
        <v>0</v>
      </c>
    </row>
    <row r="279" spans="1:13" hidden="1" x14ac:dyDescent="0.25">
      <c r="A279" s="7">
        <v>18</v>
      </c>
      <c r="B279" s="1" t="s">
        <v>37</v>
      </c>
      <c r="C279" s="1">
        <v>3.8</v>
      </c>
      <c r="D279" s="1" t="s">
        <v>41</v>
      </c>
      <c r="E279" s="1">
        <v>5.4</v>
      </c>
      <c r="F279" s="1">
        <v>1.7</v>
      </c>
      <c r="G279" s="1">
        <v>3.06</v>
      </c>
      <c r="H279" s="1">
        <v>1.9</v>
      </c>
      <c r="I279" s="1" t="s">
        <v>40</v>
      </c>
      <c r="J279" s="1">
        <v>5</v>
      </c>
      <c r="K279" s="1">
        <v>10</v>
      </c>
      <c r="L279" s="1">
        <v>3</v>
      </c>
      <c r="M279" s="8">
        <v>0</v>
      </c>
    </row>
    <row r="280" spans="1:13" x14ac:dyDescent="0.25">
      <c r="A280" s="7">
        <v>17</v>
      </c>
      <c r="B280" s="1" t="s">
        <v>37</v>
      </c>
      <c r="C280" s="1">
        <v>3</v>
      </c>
      <c r="D280" s="1" t="s">
        <v>35</v>
      </c>
      <c r="E280" s="1">
        <v>6.9</v>
      </c>
      <c r="F280" s="1">
        <v>2.2999999999999998</v>
      </c>
      <c r="G280" s="1">
        <v>3.34</v>
      </c>
      <c r="H280" s="1">
        <v>0.6</v>
      </c>
      <c r="I280" s="1" t="s">
        <v>36</v>
      </c>
      <c r="J280" s="1">
        <v>5</v>
      </c>
      <c r="K280" s="1">
        <v>2</v>
      </c>
      <c r="L280" s="1">
        <v>9</v>
      </c>
      <c r="M280" s="8">
        <v>0</v>
      </c>
    </row>
    <row r="281" spans="1:13" hidden="1" x14ac:dyDescent="0.25">
      <c r="A281" s="7">
        <v>14</v>
      </c>
      <c r="B281" s="1" t="s">
        <v>37</v>
      </c>
      <c r="C281" s="1">
        <v>7</v>
      </c>
      <c r="D281" s="1" t="s">
        <v>38</v>
      </c>
      <c r="E281" s="1">
        <v>7.8</v>
      </c>
      <c r="F281" s="1">
        <v>1.1000000000000001</v>
      </c>
      <c r="G281" s="1">
        <v>3.81</v>
      </c>
      <c r="H281" s="1">
        <v>1.4</v>
      </c>
      <c r="I281" s="1" t="s">
        <v>40</v>
      </c>
      <c r="J281" s="1">
        <v>10</v>
      </c>
      <c r="K281" s="1">
        <v>4</v>
      </c>
      <c r="L281" s="1">
        <v>2</v>
      </c>
      <c r="M281" s="8">
        <v>0</v>
      </c>
    </row>
    <row r="282" spans="1:13" hidden="1" x14ac:dyDescent="0.25">
      <c r="A282" s="7">
        <v>13</v>
      </c>
      <c r="B282" s="1" t="s">
        <v>34</v>
      </c>
      <c r="C282" s="1">
        <v>4.5999999999999996</v>
      </c>
      <c r="D282" s="1" t="s">
        <v>38</v>
      </c>
      <c r="E282" s="1">
        <v>5.3</v>
      </c>
      <c r="F282" s="1">
        <v>2.2999999999999998</v>
      </c>
      <c r="G282" s="1">
        <v>2.42</v>
      </c>
      <c r="H282" s="1">
        <v>0.2</v>
      </c>
      <c r="I282" s="1" t="s">
        <v>36</v>
      </c>
      <c r="J282" s="1">
        <v>5</v>
      </c>
      <c r="K282" s="1">
        <v>9</v>
      </c>
      <c r="L282" s="1">
        <v>5</v>
      </c>
      <c r="M282" s="8">
        <v>0</v>
      </c>
    </row>
    <row r="283" spans="1:13" hidden="1" x14ac:dyDescent="0.25">
      <c r="A283" s="7">
        <v>16</v>
      </c>
      <c r="B283" s="1" t="s">
        <v>34</v>
      </c>
      <c r="C283" s="1">
        <v>3.4</v>
      </c>
      <c r="D283" s="1" t="s">
        <v>41</v>
      </c>
      <c r="E283" s="1">
        <v>8.9</v>
      </c>
      <c r="F283" s="1">
        <v>2.6</v>
      </c>
      <c r="G283" s="1">
        <v>2.54</v>
      </c>
      <c r="H283" s="1">
        <v>1.8</v>
      </c>
      <c r="I283" s="1" t="s">
        <v>39</v>
      </c>
      <c r="J283" s="1">
        <v>6</v>
      </c>
      <c r="K283" s="1">
        <v>2</v>
      </c>
      <c r="L283" s="1">
        <v>5</v>
      </c>
      <c r="M283" s="8">
        <v>0</v>
      </c>
    </row>
    <row r="284" spans="1:13" hidden="1" x14ac:dyDescent="0.25">
      <c r="A284" s="7">
        <v>19</v>
      </c>
      <c r="B284" s="1" t="s">
        <v>37</v>
      </c>
      <c r="C284" s="1">
        <v>3.5</v>
      </c>
      <c r="D284" s="1" t="s">
        <v>38</v>
      </c>
      <c r="E284" s="1">
        <v>6.7</v>
      </c>
      <c r="F284" s="1">
        <v>2.7</v>
      </c>
      <c r="G284" s="1">
        <v>3.4</v>
      </c>
      <c r="H284" s="1">
        <v>1.2</v>
      </c>
      <c r="I284" s="1" t="s">
        <v>36</v>
      </c>
      <c r="J284" s="1">
        <v>4</v>
      </c>
      <c r="K284" s="1">
        <v>6</v>
      </c>
      <c r="L284" s="1">
        <v>7</v>
      </c>
      <c r="M284" s="8">
        <v>0</v>
      </c>
    </row>
    <row r="285" spans="1:13" hidden="1" x14ac:dyDescent="0.25">
      <c r="A285" s="7">
        <v>14</v>
      </c>
      <c r="B285" s="1" t="s">
        <v>37</v>
      </c>
      <c r="C285" s="1">
        <v>4.4000000000000004</v>
      </c>
      <c r="D285" s="1" t="s">
        <v>41</v>
      </c>
      <c r="E285" s="1">
        <v>7.3</v>
      </c>
      <c r="F285" s="1">
        <v>2.7</v>
      </c>
      <c r="G285" s="1">
        <v>3.3</v>
      </c>
      <c r="H285" s="1">
        <v>1.1000000000000001</v>
      </c>
      <c r="I285" s="1" t="s">
        <v>36</v>
      </c>
      <c r="J285" s="1">
        <v>2</v>
      </c>
      <c r="K285" s="1">
        <v>1</v>
      </c>
      <c r="L285" s="1">
        <v>9</v>
      </c>
      <c r="M285" s="8">
        <v>0</v>
      </c>
    </row>
    <row r="286" spans="1:13" hidden="1" x14ac:dyDescent="0.25">
      <c r="A286" s="7">
        <v>14</v>
      </c>
      <c r="B286" s="1" t="s">
        <v>37</v>
      </c>
      <c r="C286" s="1">
        <v>1.8</v>
      </c>
      <c r="D286" s="1" t="s">
        <v>41</v>
      </c>
      <c r="E286" s="1">
        <v>8.1999999999999993</v>
      </c>
      <c r="F286" s="1">
        <v>2.2000000000000002</v>
      </c>
      <c r="G286" s="1">
        <v>3.36</v>
      </c>
      <c r="H286" s="1">
        <v>1.7</v>
      </c>
      <c r="I286" s="1" t="s">
        <v>39</v>
      </c>
      <c r="J286" s="1">
        <v>9</v>
      </c>
      <c r="K286" s="1">
        <v>5</v>
      </c>
      <c r="L286" s="1">
        <v>10</v>
      </c>
      <c r="M286" s="8">
        <v>0</v>
      </c>
    </row>
    <row r="287" spans="1:13" hidden="1" x14ac:dyDescent="0.25">
      <c r="A287" s="7">
        <v>17</v>
      </c>
      <c r="B287" s="1" t="s">
        <v>34</v>
      </c>
      <c r="C287" s="1">
        <v>3.9</v>
      </c>
      <c r="D287" s="1" t="s">
        <v>41</v>
      </c>
      <c r="E287" s="1">
        <v>7.7</v>
      </c>
      <c r="F287" s="1">
        <v>1</v>
      </c>
      <c r="G287" s="1">
        <v>2.1</v>
      </c>
      <c r="H287" s="1">
        <v>1.8</v>
      </c>
      <c r="I287" s="1" t="s">
        <v>39</v>
      </c>
      <c r="J287" s="1">
        <v>7</v>
      </c>
      <c r="K287" s="1">
        <v>4</v>
      </c>
      <c r="L287" s="1">
        <v>5</v>
      </c>
      <c r="M287" s="8">
        <v>0</v>
      </c>
    </row>
    <row r="288" spans="1:13" hidden="1" x14ac:dyDescent="0.25">
      <c r="A288" s="7">
        <v>14</v>
      </c>
      <c r="B288" s="1" t="s">
        <v>37</v>
      </c>
      <c r="C288" s="1">
        <v>4.4000000000000004</v>
      </c>
      <c r="D288" s="1" t="s">
        <v>38</v>
      </c>
      <c r="E288" s="1">
        <v>5.7</v>
      </c>
      <c r="F288" s="1">
        <v>1</v>
      </c>
      <c r="G288" s="1">
        <v>3.2</v>
      </c>
      <c r="H288" s="1">
        <v>1.9</v>
      </c>
      <c r="I288" s="1" t="s">
        <v>39</v>
      </c>
      <c r="J288" s="1">
        <v>4</v>
      </c>
      <c r="K288" s="1">
        <v>2</v>
      </c>
      <c r="L288" s="1">
        <v>2</v>
      </c>
      <c r="M288" s="8">
        <v>0</v>
      </c>
    </row>
    <row r="289" spans="1:13" x14ac:dyDescent="0.25">
      <c r="A289" s="7">
        <v>13</v>
      </c>
      <c r="B289" s="1" t="s">
        <v>37</v>
      </c>
      <c r="C289" s="1">
        <v>2</v>
      </c>
      <c r="D289" s="1" t="s">
        <v>35</v>
      </c>
      <c r="E289" s="1">
        <v>8.6999999999999993</v>
      </c>
      <c r="F289" s="1">
        <v>1.9</v>
      </c>
      <c r="G289" s="1">
        <v>2.2799999999999998</v>
      </c>
      <c r="H289" s="1">
        <v>1.2</v>
      </c>
      <c r="I289" s="1" t="s">
        <v>40</v>
      </c>
      <c r="J289" s="1">
        <v>7</v>
      </c>
      <c r="K289" s="1">
        <v>7</v>
      </c>
      <c r="L289" s="1">
        <v>9</v>
      </c>
      <c r="M289" s="8">
        <v>0</v>
      </c>
    </row>
    <row r="290" spans="1:13" hidden="1" x14ac:dyDescent="0.25">
      <c r="A290" s="7">
        <v>17</v>
      </c>
      <c r="B290" s="1" t="s">
        <v>34</v>
      </c>
      <c r="C290" s="1">
        <v>7.2</v>
      </c>
      <c r="D290" s="1" t="s">
        <v>38</v>
      </c>
      <c r="E290" s="1">
        <v>8.8000000000000007</v>
      </c>
      <c r="F290" s="1">
        <v>2.5</v>
      </c>
      <c r="G290" s="1">
        <v>3.97</v>
      </c>
      <c r="H290" s="1">
        <v>1.9</v>
      </c>
      <c r="I290" s="1" t="s">
        <v>36</v>
      </c>
      <c r="J290" s="1">
        <v>1</v>
      </c>
      <c r="K290" s="1">
        <v>3</v>
      </c>
      <c r="L290" s="1">
        <v>9</v>
      </c>
      <c r="M290" s="8">
        <v>0</v>
      </c>
    </row>
    <row r="291" spans="1:13" hidden="1" x14ac:dyDescent="0.25">
      <c r="A291" s="7">
        <v>19</v>
      </c>
      <c r="B291" s="1" t="s">
        <v>34</v>
      </c>
      <c r="C291" s="1">
        <v>4.4000000000000004</v>
      </c>
      <c r="D291" s="1" t="s">
        <v>41</v>
      </c>
      <c r="E291" s="1">
        <v>6.4</v>
      </c>
      <c r="F291" s="1">
        <v>0.9</v>
      </c>
      <c r="G291" s="1">
        <v>2.72</v>
      </c>
      <c r="H291" s="1">
        <v>0.2</v>
      </c>
      <c r="I291" s="1" t="s">
        <v>40</v>
      </c>
      <c r="J291" s="1">
        <v>6</v>
      </c>
      <c r="K291" s="1">
        <v>9</v>
      </c>
      <c r="L291" s="1">
        <v>8</v>
      </c>
      <c r="M291" s="8">
        <v>0</v>
      </c>
    </row>
    <row r="292" spans="1:13" hidden="1" x14ac:dyDescent="0.25">
      <c r="A292" s="7">
        <v>14</v>
      </c>
      <c r="B292" s="1" t="s">
        <v>34</v>
      </c>
      <c r="C292" s="1">
        <v>7.2</v>
      </c>
      <c r="D292" s="1" t="s">
        <v>38</v>
      </c>
      <c r="E292" s="1">
        <v>4.8</v>
      </c>
      <c r="F292" s="1">
        <v>1.4</v>
      </c>
      <c r="G292" s="1">
        <v>2.36</v>
      </c>
      <c r="H292" s="1">
        <v>0.1</v>
      </c>
      <c r="I292" s="1" t="s">
        <v>36</v>
      </c>
      <c r="J292" s="1">
        <v>5</v>
      </c>
      <c r="K292" s="1">
        <v>7</v>
      </c>
      <c r="L292" s="1">
        <v>1</v>
      </c>
      <c r="M292" s="8">
        <v>0</v>
      </c>
    </row>
    <row r="293" spans="1:13" hidden="1" x14ac:dyDescent="0.25">
      <c r="A293" s="7">
        <v>13</v>
      </c>
      <c r="B293" s="1" t="s">
        <v>34</v>
      </c>
      <c r="C293" s="1">
        <v>5.4</v>
      </c>
      <c r="D293" s="1" t="s">
        <v>35</v>
      </c>
      <c r="E293" s="1">
        <v>6.5</v>
      </c>
      <c r="F293" s="1">
        <v>0.8</v>
      </c>
      <c r="G293" s="1">
        <v>3.17</v>
      </c>
      <c r="H293" s="1">
        <v>0.3</v>
      </c>
      <c r="I293" s="1" t="s">
        <v>40</v>
      </c>
      <c r="J293" s="1">
        <v>10</v>
      </c>
      <c r="K293" s="1">
        <v>3</v>
      </c>
      <c r="L293" s="1">
        <v>3</v>
      </c>
      <c r="M293" s="8">
        <v>0</v>
      </c>
    </row>
    <row r="294" spans="1:13" hidden="1" x14ac:dyDescent="0.25">
      <c r="A294" s="7">
        <v>16</v>
      </c>
      <c r="B294" s="1" t="s">
        <v>34</v>
      </c>
      <c r="C294" s="1">
        <v>1.5</v>
      </c>
      <c r="D294" s="1" t="s">
        <v>38</v>
      </c>
      <c r="E294" s="1">
        <v>4.0999999999999996</v>
      </c>
      <c r="F294" s="1">
        <v>1.3</v>
      </c>
      <c r="G294" s="1">
        <v>3.67</v>
      </c>
      <c r="H294" s="1">
        <v>1.2</v>
      </c>
      <c r="I294" s="1" t="s">
        <v>39</v>
      </c>
      <c r="J294" s="1">
        <v>10</v>
      </c>
      <c r="K294" s="1">
        <v>6</v>
      </c>
      <c r="L294" s="1">
        <v>6</v>
      </c>
      <c r="M294" s="8">
        <v>0</v>
      </c>
    </row>
    <row r="295" spans="1:13" x14ac:dyDescent="0.25">
      <c r="A295" s="7">
        <v>15</v>
      </c>
      <c r="B295" s="1" t="s">
        <v>37</v>
      </c>
      <c r="C295" s="1">
        <v>1.8</v>
      </c>
      <c r="D295" s="1" t="s">
        <v>35</v>
      </c>
      <c r="E295" s="1">
        <v>8</v>
      </c>
      <c r="F295" s="1">
        <v>2.8</v>
      </c>
      <c r="G295" s="1">
        <v>3.49</v>
      </c>
      <c r="H295" s="1">
        <v>0.6</v>
      </c>
      <c r="I295" s="1" t="s">
        <v>36</v>
      </c>
      <c r="J295" s="1">
        <v>9</v>
      </c>
      <c r="K295" s="1">
        <v>8</v>
      </c>
      <c r="L295" s="1">
        <v>8</v>
      </c>
      <c r="M295" s="8">
        <v>0</v>
      </c>
    </row>
    <row r="296" spans="1:13" hidden="1" x14ac:dyDescent="0.25">
      <c r="A296" s="7">
        <v>17</v>
      </c>
      <c r="B296" s="1" t="s">
        <v>37</v>
      </c>
      <c r="C296" s="1">
        <v>3.7</v>
      </c>
      <c r="D296" s="1" t="s">
        <v>38</v>
      </c>
      <c r="E296" s="1">
        <v>5.3</v>
      </c>
      <c r="F296" s="1">
        <v>0.7</v>
      </c>
      <c r="G296" s="1">
        <v>2.09</v>
      </c>
      <c r="H296" s="1">
        <v>0.8</v>
      </c>
      <c r="I296" s="1" t="s">
        <v>39</v>
      </c>
      <c r="J296" s="1">
        <v>8</v>
      </c>
      <c r="K296" s="1">
        <v>8</v>
      </c>
      <c r="L296" s="1">
        <v>10</v>
      </c>
      <c r="M296" s="8">
        <v>0</v>
      </c>
    </row>
    <row r="297" spans="1:13" hidden="1" x14ac:dyDescent="0.25">
      <c r="A297" s="7">
        <v>13</v>
      </c>
      <c r="B297" s="1" t="s">
        <v>34</v>
      </c>
      <c r="C297" s="1">
        <v>6.4</v>
      </c>
      <c r="D297" s="1" t="s">
        <v>41</v>
      </c>
      <c r="E297" s="1">
        <v>8.3000000000000007</v>
      </c>
      <c r="F297" s="1">
        <v>1.3</v>
      </c>
      <c r="G297" s="1">
        <v>2.21</v>
      </c>
      <c r="H297" s="1">
        <v>1.2</v>
      </c>
      <c r="I297" s="1" t="s">
        <v>39</v>
      </c>
      <c r="J297" s="1">
        <v>4</v>
      </c>
      <c r="K297" s="1">
        <v>5</v>
      </c>
      <c r="L297" s="1">
        <v>9</v>
      </c>
      <c r="M297" s="8">
        <v>0</v>
      </c>
    </row>
    <row r="298" spans="1:13" hidden="1" x14ac:dyDescent="0.25">
      <c r="A298" s="7">
        <v>19</v>
      </c>
      <c r="B298" s="1" t="s">
        <v>34</v>
      </c>
      <c r="C298" s="1">
        <v>6.4</v>
      </c>
      <c r="D298" s="1" t="s">
        <v>41</v>
      </c>
      <c r="E298" s="1">
        <v>6.7</v>
      </c>
      <c r="F298" s="1">
        <v>2.4</v>
      </c>
      <c r="G298" s="1">
        <v>2.2000000000000002</v>
      </c>
      <c r="H298" s="1">
        <v>1.3</v>
      </c>
      <c r="I298" s="1" t="s">
        <v>36</v>
      </c>
      <c r="J298" s="1">
        <v>5</v>
      </c>
      <c r="K298" s="1">
        <v>2</v>
      </c>
      <c r="L298" s="1">
        <v>2</v>
      </c>
      <c r="M298" s="8">
        <v>0</v>
      </c>
    </row>
    <row r="299" spans="1:13" x14ac:dyDescent="0.25">
      <c r="A299" s="7">
        <v>17</v>
      </c>
      <c r="B299" s="1" t="s">
        <v>37</v>
      </c>
      <c r="C299" s="1">
        <v>1.1000000000000001</v>
      </c>
      <c r="D299" s="1" t="s">
        <v>35</v>
      </c>
      <c r="E299" s="1">
        <v>9</v>
      </c>
      <c r="F299" s="1">
        <v>2.9</v>
      </c>
      <c r="G299" s="1">
        <v>2.74</v>
      </c>
      <c r="H299" s="1">
        <v>1</v>
      </c>
      <c r="I299" s="1" t="s">
        <v>40</v>
      </c>
      <c r="J299" s="1">
        <v>2</v>
      </c>
      <c r="K299" s="1">
        <v>8</v>
      </c>
      <c r="L299" s="1">
        <v>2</v>
      </c>
      <c r="M299" s="8">
        <v>0</v>
      </c>
    </row>
    <row r="300" spans="1:13" hidden="1" x14ac:dyDescent="0.25">
      <c r="A300" s="7">
        <v>13</v>
      </c>
      <c r="B300" s="1" t="s">
        <v>34</v>
      </c>
      <c r="C300" s="1">
        <v>1.3</v>
      </c>
      <c r="D300" s="1" t="s">
        <v>38</v>
      </c>
      <c r="E300" s="1">
        <v>7.8</v>
      </c>
      <c r="F300" s="1">
        <v>2.6</v>
      </c>
      <c r="G300" s="1">
        <v>3.01</v>
      </c>
      <c r="H300" s="1">
        <v>0.3</v>
      </c>
      <c r="I300" s="1" t="s">
        <v>36</v>
      </c>
      <c r="J300" s="1">
        <v>2</v>
      </c>
      <c r="K300" s="1">
        <v>9</v>
      </c>
      <c r="L300" s="1">
        <v>10</v>
      </c>
      <c r="M300" s="8">
        <v>0</v>
      </c>
    </row>
    <row r="301" spans="1:13" x14ac:dyDescent="0.25">
      <c r="A301" s="7">
        <v>17</v>
      </c>
      <c r="B301" s="1" t="s">
        <v>37</v>
      </c>
      <c r="C301" s="1">
        <v>4.4000000000000004</v>
      </c>
      <c r="D301" s="1" t="s">
        <v>35</v>
      </c>
      <c r="E301" s="1">
        <v>6</v>
      </c>
      <c r="F301" s="1">
        <v>1.2</v>
      </c>
      <c r="G301" s="1">
        <v>2.48</v>
      </c>
      <c r="H301" s="1">
        <v>0.9</v>
      </c>
      <c r="I301" s="1" t="s">
        <v>40</v>
      </c>
      <c r="J301" s="1">
        <v>6</v>
      </c>
      <c r="K301" s="1">
        <v>2</v>
      </c>
      <c r="L301" s="1">
        <v>6</v>
      </c>
      <c r="M301" s="8">
        <v>0</v>
      </c>
    </row>
    <row r="302" spans="1:13" hidden="1" x14ac:dyDescent="0.25">
      <c r="A302" s="7">
        <v>13</v>
      </c>
      <c r="B302" s="1" t="s">
        <v>34</v>
      </c>
      <c r="C302" s="1">
        <v>7.8</v>
      </c>
      <c r="D302" s="1" t="s">
        <v>35</v>
      </c>
      <c r="E302" s="1">
        <v>5</v>
      </c>
      <c r="F302" s="1">
        <v>1.8</v>
      </c>
      <c r="G302" s="1">
        <v>3.57</v>
      </c>
      <c r="H302" s="1">
        <v>1.5</v>
      </c>
      <c r="I302" s="1" t="s">
        <v>40</v>
      </c>
      <c r="J302" s="1">
        <v>8</v>
      </c>
      <c r="K302" s="1">
        <v>10</v>
      </c>
      <c r="L302" s="1">
        <v>3</v>
      </c>
      <c r="M302" s="8">
        <v>1</v>
      </c>
    </row>
    <row r="303" spans="1:13" hidden="1" x14ac:dyDescent="0.25">
      <c r="A303" s="7">
        <v>14</v>
      </c>
      <c r="B303" s="1" t="s">
        <v>37</v>
      </c>
      <c r="C303" s="1">
        <v>6.9</v>
      </c>
      <c r="D303" s="1" t="s">
        <v>38</v>
      </c>
      <c r="E303" s="1">
        <v>6.4</v>
      </c>
      <c r="F303" s="1">
        <v>0.9</v>
      </c>
      <c r="G303" s="1">
        <v>2.04</v>
      </c>
      <c r="H303" s="1">
        <v>1.3</v>
      </c>
      <c r="I303" s="1" t="s">
        <v>40</v>
      </c>
      <c r="J303" s="1">
        <v>5</v>
      </c>
      <c r="K303" s="1">
        <v>5</v>
      </c>
      <c r="L303" s="1">
        <v>9</v>
      </c>
      <c r="M303" s="8">
        <v>0</v>
      </c>
    </row>
    <row r="304" spans="1:13" x14ac:dyDescent="0.25">
      <c r="A304" s="7">
        <v>14</v>
      </c>
      <c r="B304" s="1" t="s">
        <v>37</v>
      </c>
      <c r="C304" s="1">
        <v>4.8</v>
      </c>
      <c r="D304" s="1" t="s">
        <v>35</v>
      </c>
      <c r="E304" s="1">
        <v>6.8</v>
      </c>
      <c r="F304" s="1">
        <v>0.8</v>
      </c>
      <c r="G304" s="1">
        <v>3</v>
      </c>
      <c r="H304" s="1">
        <v>0.9</v>
      </c>
      <c r="I304" s="1" t="s">
        <v>36</v>
      </c>
      <c r="J304" s="1">
        <v>4</v>
      </c>
      <c r="K304" s="1">
        <v>3</v>
      </c>
      <c r="L304" s="1">
        <v>4</v>
      </c>
      <c r="M304" s="8">
        <v>0</v>
      </c>
    </row>
    <row r="305" spans="1:13" hidden="1" x14ac:dyDescent="0.25">
      <c r="A305" s="7">
        <v>13</v>
      </c>
      <c r="B305" s="1" t="s">
        <v>34</v>
      </c>
      <c r="C305" s="1">
        <v>7.5</v>
      </c>
      <c r="D305" s="1" t="s">
        <v>35</v>
      </c>
      <c r="E305" s="1">
        <v>8.6</v>
      </c>
      <c r="F305" s="1">
        <v>1.9</v>
      </c>
      <c r="G305" s="1">
        <v>3.33</v>
      </c>
      <c r="H305" s="1">
        <v>0.9</v>
      </c>
      <c r="I305" s="1" t="s">
        <v>40</v>
      </c>
      <c r="J305" s="1">
        <v>7</v>
      </c>
      <c r="K305" s="1">
        <v>3</v>
      </c>
      <c r="L305" s="1">
        <v>10</v>
      </c>
      <c r="M305" s="8">
        <v>0</v>
      </c>
    </row>
    <row r="306" spans="1:13" x14ac:dyDescent="0.25">
      <c r="A306" s="7">
        <v>15</v>
      </c>
      <c r="B306" s="1" t="s">
        <v>37</v>
      </c>
      <c r="C306" s="1">
        <v>6.7</v>
      </c>
      <c r="D306" s="1" t="s">
        <v>35</v>
      </c>
      <c r="E306" s="1">
        <v>7</v>
      </c>
      <c r="F306" s="1">
        <v>2.2000000000000002</v>
      </c>
      <c r="G306" s="1">
        <v>2.61</v>
      </c>
      <c r="H306" s="1">
        <v>0.7</v>
      </c>
      <c r="I306" s="1" t="s">
        <v>39</v>
      </c>
      <c r="J306" s="1">
        <v>2</v>
      </c>
      <c r="K306" s="1">
        <v>7</v>
      </c>
      <c r="L306" s="1">
        <v>8</v>
      </c>
      <c r="M306" s="8">
        <v>0</v>
      </c>
    </row>
    <row r="307" spans="1:13" hidden="1" x14ac:dyDescent="0.25">
      <c r="A307" s="7">
        <v>14</v>
      </c>
      <c r="B307" s="1" t="s">
        <v>34</v>
      </c>
      <c r="C307" s="1">
        <v>3.8</v>
      </c>
      <c r="D307" s="1" t="s">
        <v>35</v>
      </c>
      <c r="E307" s="1">
        <v>4.8</v>
      </c>
      <c r="F307" s="1">
        <v>1.9</v>
      </c>
      <c r="G307" s="1">
        <v>3.97</v>
      </c>
      <c r="H307" s="1">
        <v>0.2</v>
      </c>
      <c r="I307" s="1" t="s">
        <v>39</v>
      </c>
      <c r="J307" s="1">
        <v>4</v>
      </c>
      <c r="K307" s="1">
        <v>6</v>
      </c>
      <c r="L307" s="1">
        <v>6</v>
      </c>
      <c r="M307" s="8">
        <v>0</v>
      </c>
    </row>
    <row r="308" spans="1:13" hidden="1" x14ac:dyDescent="0.25">
      <c r="A308" s="7">
        <v>15</v>
      </c>
      <c r="B308" s="1" t="s">
        <v>34</v>
      </c>
      <c r="C308" s="1">
        <v>3</v>
      </c>
      <c r="D308" s="1" t="s">
        <v>35</v>
      </c>
      <c r="E308" s="1">
        <v>8.6</v>
      </c>
      <c r="F308" s="1">
        <v>1.5</v>
      </c>
      <c r="G308" s="1">
        <v>3.27</v>
      </c>
      <c r="H308" s="1">
        <v>0.8</v>
      </c>
      <c r="I308" s="1" t="s">
        <v>40</v>
      </c>
      <c r="J308" s="1">
        <v>10</v>
      </c>
      <c r="K308" s="1">
        <v>10</v>
      </c>
      <c r="L308" s="1">
        <v>4</v>
      </c>
      <c r="M308" s="8">
        <v>0</v>
      </c>
    </row>
    <row r="309" spans="1:13" hidden="1" x14ac:dyDescent="0.25">
      <c r="A309" s="7">
        <v>17</v>
      </c>
      <c r="B309" s="1" t="s">
        <v>34</v>
      </c>
      <c r="C309" s="1">
        <v>7.8</v>
      </c>
      <c r="D309" s="1" t="s">
        <v>38</v>
      </c>
      <c r="E309" s="1">
        <v>7.1</v>
      </c>
      <c r="F309" s="1">
        <v>0.8</v>
      </c>
      <c r="G309" s="1">
        <v>2.79</v>
      </c>
      <c r="H309" s="1">
        <v>1.4</v>
      </c>
      <c r="I309" s="1" t="s">
        <v>40</v>
      </c>
      <c r="J309" s="1">
        <v>9</v>
      </c>
      <c r="K309" s="1">
        <v>4</v>
      </c>
      <c r="L309" s="1">
        <v>2</v>
      </c>
      <c r="M309" s="8">
        <v>0</v>
      </c>
    </row>
    <row r="310" spans="1:13" x14ac:dyDescent="0.25">
      <c r="A310" s="7">
        <v>14</v>
      </c>
      <c r="B310" s="1" t="s">
        <v>37</v>
      </c>
      <c r="C310" s="1">
        <v>7.8</v>
      </c>
      <c r="D310" s="1" t="s">
        <v>35</v>
      </c>
      <c r="E310" s="1">
        <v>4.3</v>
      </c>
      <c r="F310" s="1">
        <v>2.6</v>
      </c>
      <c r="G310" s="1">
        <v>3.33</v>
      </c>
      <c r="H310" s="1">
        <v>2</v>
      </c>
      <c r="I310" s="1" t="s">
        <v>39</v>
      </c>
      <c r="J310" s="1">
        <v>3</v>
      </c>
      <c r="K310" s="1">
        <v>7</v>
      </c>
      <c r="L310" s="1">
        <v>3</v>
      </c>
      <c r="M310" s="8">
        <v>0</v>
      </c>
    </row>
    <row r="311" spans="1:13" hidden="1" x14ac:dyDescent="0.25">
      <c r="A311" s="7">
        <v>15</v>
      </c>
      <c r="B311" s="1" t="s">
        <v>37</v>
      </c>
      <c r="C311" s="1">
        <v>6.6</v>
      </c>
      <c r="D311" s="1" t="s">
        <v>38</v>
      </c>
      <c r="E311" s="1">
        <v>9</v>
      </c>
      <c r="F311" s="1">
        <v>1.5</v>
      </c>
      <c r="G311" s="1">
        <v>3.04</v>
      </c>
      <c r="H311" s="1">
        <v>1.5</v>
      </c>
      <c r="I311" s="1" t="s">
        <v>36</v>
      </c>
      <c r="J311" s="1">
        <v>4</v>
      </c>
      <c r="K311" s="1">
        <v>2</v>
      </c>
      <c r="L311" s="1">
        <v>7</v>
      </c>
      <c r="M311" s="8">
        <v>0</v>
      </c>
    </row>
    <row r="312" spans="1:13" x14ac:dyDescent="0.25">
      <c r="A312" s="7">
        <v>13</v>
      </c>
      <c r="B312" s="1" t="s">
        <v>37</v>
      </c>
      <c r="C312" s="1">
        <v>7.3</v>
      </c>
      <c r="D312" s="1" t="s">
        <v>35</v>
      </c>
      <c r="E312" s="1">
        <v>6.4</v>
      </c>
      <c r="F312" s="1">
        <v>2.2999999999999998</v>
      </c>
      <c r="G312" s="1">
        <v>2.5299999999999998</v>
      </c>
      <c r="H312" s="1">
        <v>0.7</v>
      </c>
      <c r="I312" s="1" t="s">
        <v>36</v>
      </c>
      <c r="J312" s="1">
        <v>9</v>
      </c>
      <c r="K312" s="1">
        <v>9</v>
      </c>
      <c r="L312" s="1">
        <v>4</v>
      </c>
      <c r="M312" s="8">
        <v>0</v>
      </c>
    </row>
    <row r="313" spans="1:13" hidden="1" x14ac:dyDescent="0.25">
      <c r="A313" s="7">
        <v>19</v>
      </c>
      <c r="B313" s="1" t="s">
        <v>34</v>
      </c>
      <c r="C313" s="1">
        <v>6.6</v>
      </c>
      <c r="D313" s="1" t="s">
        <v>35</v>
      </c>
      <c r="E313" s="1">
        <v>4.4000000000000004</v>
      </c>
      <c r="F313" s="1">
        <v>1.1000000000000001</v>
      </c>
      <c r="G313" s="1">
        <v>2.29</v>
      </c>
      <c r="H313" s="1">
        <v>1</v>
      </c>
      <c r="I313" s="1" t="s">
        <v>36</v>
      </c>
      <c r="J313" s="1">
        <v>6</v>
      </c>
      <c r="K313" s="1">
        <v>8</v>
      </c>
      <c r="L313" s="1">
        <v>5</v>
      </c>
      <c r="M313" s="8">
        <v>0</v>
      </c>
    </row>
    <row r="314" spans="1:13" hidden="1" x14ac:dyDescent="0.25">
      <c r="A314" s="7">
        <v>19</v>
      </c>
      <c r="B314" s="1" t="s">
        <v>37</v>
      </c>
      <c r="C314" s="1">
        <v>5.6</v>
      </c>
      <c r="D314" s="1" t="s">
        <v>38</v>
      </c>
      <c r="E314" s="1">
        <v>8.1</v>
      </c>
      <c r="F314" s="1">
        <v>3</v>
      </c>
      <c r="G314" s="1">
        <v>2.75</v>
      </c>
      <c r="H314" s="1">
        <v>0.7</v>
      </c>
      <c r="I314" s="1" t="s">
        <v>40</v>
      </c>
      <c r="J314" s="1">
        <v>6</v>
      </c>
      <c r="K314" s="1">
        <v>3</v>
      </c>
      <c r="L314" s="1">
        <v>4</v>
      </c>
      <c r="M314" s="8">
        <v>0</v>
      </c>
    </row>
    <row r="315" spans="1:13" x14ac:dyDescent="0.25">
      <c r="A315" s="7">
        <v>13</v>
      </c>
      <c r="B315" s="1" t="s">
        <v>37</v>
      </c>
      <c r="C315" s="1">
        <v>8</v>
      </c>
      <c r="D315" s="1" t="s">
        <v>35</v>
      </c>
      <c r="E315" s="1">
        <v>5.4</v>
      </c>
      <c r="F315" s="1">
        <v>2.8</v>
      </c>
      <c r="G315" s="1">
        <v>3.1</v>
      </c>
      <c r="H315" s="1">
        <v>1.9</v>
      </c>
      <c r="I315" s="1" t="s">
        <v>39</v>
      </c>
      <c r="J315" s="1">
        <v>6</v>
      </c>
      <c r="K315" s="1">
        <v>10</v>
      </c>
      <c r="L315" s="1">
        <v>10</v>
      </c>
      <c r="M315" s="8">
        <v>0</v>
      </c>
    </row>
    <row r="316" spans="1:13" x14ac:dyDescent="0.25">
      <c r="A316" s="7">
        <v>13</v>
      </c>
      <c r="B316" s="1" t="s">
        <v>37</v>
      </c>
      <c r="C316" s="1">
        <v>1.3</v>
      </c>
      <c r="D316" s="1" t="s">
        <v>35</v>
      </c>
      <c r="E316" s="1">
        <v>8.9</v>
      </c>
      <c r="F316" s="1">
        <v>2.6</v>
      </c>
      <c r="G316" s="1">
        <v>3.54</v>
      </c>
      <c r="H316" s="1">
        <v>1.2</v>
      </c>
      <c r="I316" s="1" t="s">
        <v>39</v>
      </c>
      <c r="J316" s="1">
        <v>8</v>
      </c>
      <c r="K316" s="1">
        <v>5</v>
      </c>
      <c r="L316" s="1">
        <v>2</v>
      </c>
      <c r="M316" s="8">
        <v>0</v>
      </c>
    </row>
    <row r="317" spans="1:13" hidden="1" x14ac:dyDescent="0.25">
      <c r="A317" s="7">
        <v>15</v>
      </c>
      <c r="B317" s="1" t="s">
        <v>37</v>
      </c>
      <c r="C317" s="1">
        <v>5.9</v>
      </c>
      <c r="D317" s="1" t="s">
        <v>41</v>
      </c>
      <c r="E317" s="1">
        <v>6.9</v>
      </c>
      <c r="F317" s="1">
        <v>1.4</v>
      </c>
      <c r="G317" s="1">
        <v>3.62</v>
      </c>
      <c r="H317" s="1">
        <v>1.5</v>
      </c>
      <c r="I317" s="1" t="s">
        <v>40</v>
      </c>
      <c r="J317" s="1">
        <v>3</v>
      </c>
      <c r="K317" s="1">
        <v>9</v>
      </c>
      <c r="L317" s="1">
        <v>1</v>
      </c>
      <c r="M317" s="8">
        <v>0</v>
      </c>
    </row>
    <row r="318" spans="1:13" x14ac:dyDescent="0.25">
      <c r="A318" s="7">
        <v>14</v>
      </c>
      <c r="B318" s="1" t="s">
        <v>37</v>
      </c>
      <c r="C318" s="1">
        <v>2</v>
      </c>
      <c r="D318" s="1" t="s">
        <v>35</v>
      </c>
      <c r="E318" s="1">
        <v>8.8000000000000007</v>
      </c>
      <c r="F318" s="1">
        <v>0.9</v>
      </c>
      <c r="G318" s="1">
        <v>3.61</v>
      </c>
      <c r="H318" s="1">
        <v>0.7</v>
      </c>
      <c r="I318" s="1" t="s">
        <v>39</v>
      </c>
      <c r="J318" s="1">
        <v>10</v>
      </c>
      <c r="K318" s="1">
        <v>2</v>
      </c>
      <c r="L318" s="1">
        <v>3</v>
      </c>
      <c r="M318" s="8">
        <v>0</v>
      </c>
    </row>
    <row r="319" spans="1:13" x14ac:dyDescent="0.25">
      <c r="A319" s="7">
        <v>19</v>
      </c>
      <c r="B319" s="1" t="s">
        <v>37</v>
      </c>
      <c r="C319" s="1">
        <v>1.4</v>
      </c>
      <c r="D319" s="1" t="s">
        <v>35</v>
      </c>
      <c r="E319" s="1">
        <v>6.6</v>
      </c>
      <c r="F319" s="1">
        <v>1.8</v>
      </c>
      <c r="G319" s="1">
        <v>3.07</v>
      </c>
      <c r="H319" s="1">
        <v>0</v>
      </c>
      <c r="I319" s="1" t="s">
        <v>36</v>
      </c>
      <c r="J319" s="1">
        <v>5</v>
      </c>
      <c r="K319" s="1">
        <v>2</v>
      </c>
      <c r="L319" s="1">
        <v>6</v>
      </c>
      <c r="M319" s="8">
        <v>0</v>
      </c>
    </row>
    <row r="320" spans="1:13" hidden="1" x14ac:dyDescent="0.25">
      <c r="A320" s="7">
        <v>13</v>
      </c>
      <c r="B320" s="1" t="s">
        <v>37</v>
      </c>
      <c r="C320" s="1">
        <v>6.4</v>
      </c>
      <c r="D320" s="1" t="s">
        <v>41</v>
      </c>
      <c r="E320" s="1">
        <v>6.7</v>
      </c>
      <c r="F320" s="1">
        <v>0.8</v>
      </c>
      <c r="G320" s="1">
        <v>3.9</v>
      </c>
      <c r="H320" s="1">
        <v>1.9</v>
      </c>
      <c r="I320" s="1" t="s">
        <v>39</v>
      </c>
      <c r="J320" s="1">
        <v>3</v>
      </c>
      <c r="K320" s="1">
        <v>3</v>
      </c>
      <c r="L320" s="1">
        <v>10</v>
      </c>
      <c r="M320" s="8">
        <v>0</v>
      </c>
    </row>
    <row r="321" spans="1:13" hidden="1" x14ac:dyDescent="0.25">
      <c r="A321" s="7">
        <v>15</v>
      </c>
      <c r="B321" s="1" t="s">
        <v>34</v>
      </c>
      <c r="C321" s="1">
        <v>7.6</v>
      </c>
      <c r="D321" s="1" t="s">
        <v>38</v>
      </c>
      <c r="E321" s="1">
        <v>7.9</v>
      </c>
      <c r="F321" s="1">
        <v>0.8</v>
      </c>
      <c r="G321" s="1">
        <v>3.55</v>
      </c>
      <c r="H321" s="1">
        <v>1.9</v>
      </c>
      <c r="I321" s="1" t="s">
        <v>39</v>
      </c>
      <c r="J321" s="1">
        <v>10</v>
      </c>
      <c r="K321" s="1">
        <v>8</v>
      </c>
      <c r="L321" s="1">
        <v>6</v>
      </c>
      <c r="M321" s="8">
        <v>0</v>
      </c>
    </row>
    <row r="322" spans="1:13" hidden="1" x14ac:dyDescent="0.25">
      <c r="A322" s="7">
        <v>16</v>
      </c>
      <c r="B322" s="1" t="s">
        <v>34</v>
      </c>
      <c r="C322" s="1">
        <v>7.9</v>
      </c>
      <c r="D322" s="1" t="s">
        <v>41</v>
      </c>
      <c r="E322" s="1">
        <v>5.5</v>
      </c>
      <c r="F322" s="1">
        <v>0.6</v>
      </c>
      <c r="G322" s="1">
        <v>3.65</v>
      </c>
      <c r="H322" s="1">
        <v>1.4</v>
      </c>
      <c r="I322" s="1" t="s">
        <v>36</v>
      </c>
      <c r="J322" s="1">
        <v>1</v>
      </c>
      <c r="K322" s="1">
        <v>4</v>
      </c>
      <c r="L322" s="1">
        <v>1</v>
      </c>
      <c r="M322" s="8">
        <v>0</v>
      </c>
    </row>
    <row r="323" spans="1:13" hidden="1" x14ac:dyDescent="0.25">
      <c r="A323" s="7">
        <v>15</v>
      </c>
      <c r="B323" s="1" t="s">
        <v>34</v>
      </c>
      <c r="C323" s="1">
        <v>5.0999999999999996</v>
      </c>
      <c r="D323" s="1" t="s">
        <v>35</v>
      </c>
      <c r="E323" s="1">
        <v>4.0999999999999996</v>
      </c>
      <c r="F323" s="1">
        <v>2.8</v>
      </c>
      <c r="G323" s="1">
        <v>3.79</v>
      </c>
      <c r="H323" s="1">
        <v>0.8</v>
      </c>
      <c r="I323" s="1" t="s">
        <v>40</v>
      </c>
      <c r="J323" s="1">
        <v>9</v>
      </c>
      <c r="K323" s="1">
        <v>7</v>
      </c>
      <c r="L323" s="1">
        <v>3</v>
      </c>
      <c r="M323" s="8">
        <v>1</v>
      </c>
    </row>
    <row r="324" spans="1:13" hidden="1" x14ac:dyDescent="0.25">
      <c r="A324" s="7">
        <v>18</v>
      </c>
      <c r="B324" s="1" t="s">
        <v>34</v>
      </c>
      <c r="C324" s="1">
        <v>6.4</v>
      </c>
      <c r="D324" s="1" t="s">
        <v>38</v>
      </c>
      <c r="E324" s="1">
        <v>7.4</v>
      </c>
      <c r="F324" s="1">
        <v>1.5</v>
      </c>
      <c r="G324" s="1">
        <v>2.92</v>
      </c>
      <c r="H324" s="1">
        <v>0.6</v>
      </c>
      <c r="I324" s="1" t="s">
        <v>36</v>
      </c>
      <c r="J324" s="1">
        <v>9</v>
      </c>
      <c r="K324" s="1">
        <v>2</v>
      </c>
      <c r="L324" s="1">
        <v>5</v>
      </c>
      <c r="M324" s="8">
        <v>0</v>
      </c>
    </row>
    <row r="325" spans="1:13" hidden="1" x14ac:dyDescent="0.25">
      <c r="A325" s="7">
        <v>13</v>
      </c>
      <c r="B325" s="1" t="s">
        <v>37</v>
      </c>
      <c r="C325" s="1">
        <v>7.2</v>
      </c>
      <c r="D325" s="1" t="s">
        <v>41</v>
      </c>
      <c r="E325" s="1">
        <v>6.7</v>
      </c>
      <c r="F325" s="1">
        <v>0.9</v>
      </c>
      <c r="G325" s="1">
        <v>2.36</v>
      </c>
      <c r="H325" s="1">
        <v>0.6</v>
      </c>
      <c r="I325" s="1" t="s">
        <v>36</v>
      </c>
      <c r="J325" s="1">
        <v>8</v>
      </c>
      <c r="K325" s="1">
        <v>8</v>
      </c>
      <c r="L325" s="1">
        <v>1</v>
      </c>
      <c r="M325" s="8">
        <v>0</v>
      </c>
    </row>
    <row r="326" spans="1:13" hidden="1" x14ac:dyDescent="0.25">
      <c r="A326" s="7">
        <v>18</v>
      </c>
      <c r="B326" s="1" t="s">
        <v>37</v>
      </c>
      <c r="C326" s="1">
        <v>2.9</v>
      </c>
      <c r="D326" s="1" t="s">
        <v>41</v>
      </c>
      <c r="E326" s="1">
        <v>4.5999999999999996</v>
      </c>
      <c r="F326" s="1">
        <v>2.2999999999999998</v>
      </c>
      <c r="G326" s="1">
        <v>3.03</v>
      </c>
      <c r="H326" s="1">
        <v>0.3</v>
      </c>
      <c r="I326" s="1" t="s">
        <v>36</v>
      </c>
      <c r="J326" s="1">
        <v>6</v>
      </c>
      <c r="K326" s="1">
        <v>1</v>
      </c>
      <c r="L326" s="1">
        <v>9</v>
      </c>
      <c r="M326" s="8">
        <v>0</v>
      </c>
    </row>
    <row r="327" spans="1:13" hidden="1" x14ac:dyDescent="0.25">
      <c r="A327" s="7">
        <v>19</v>
      </c>
      <c r="B327" s="1" t="s">
        <v>34</v>
      </c>
      <c r="C327" s="1">
        <v>1.5</v>
      </c>
      <c r="D327" s="1" t="s">
        <v>35</v>
      </c>
      <c r="E327" s="1">
        <v>7.3</v>
      </c>
      <c r="F327" s="1">
        <v>2.7</v>
      </c>
      <c r="G327" s="1">
        <v>2.61</v>
      </c>
      <c r="H327" s="1">
        <v>0.9</v>
      </c>
      <c r="I327" s="1" t="s">
        <v>36</v>
      </c>
      <c r="J327" s="1">
        <v>5</v>
      </c>
      <c r="K327" s="1">
        <v>7</v>
      </c>
      <c r="L327" s="1">
        <v>10</v>
      </c>
      <c r="M327" s="8">
        <v>0</v>
      </c>
    </row>
    <row r="328" spans="1:13" hidden="1" x14ac:dyDescent="0.25">
      <c r="A328" s="7">
        <v>14</v>
      </c>
      <c r="B328" s="1" t="s">
        <v>34</v>
      </c>
      <c r="C328" s="1">
        <v>5.4</v>
      </c>
      <c r="D328" s="1" t="s">
        <v>41</v>
      </c>
      <c r="E328" s="1">
        <v>8.1</v>
      </c>
      <c r="F328" s="1">
        <v>1.8</v>
      </c>
      <c r="G328" s="1">
        <v>2.5299999999999998</v>
      </c>
      <c r="H328" s="1">
        <v>0.9</v>
      </c>
      <c r="I328" s="1" t="s">
        <v>40</v>
      </c>
      <c r="J328" s="1">
        <v>5</v>
      </c>
      <c r="K328" s="1">
        <v>8</v>
      </c>
      <c r="L328" s="1">
        <v>8</v>
      </c>
      <c r="M328" s="8">
        <v>0</v>
      </c>
    </row>
    <row r="329" spans="1:13" hidden="1" x14ac:dyDescent="0.25">
      <c r="A329" s="7">
        <v>13</v>
      </c>
      <c r="B329" s="1" t="s">
        <v>34</v>
      </c>
      <c r="C329" s="1">
        <v>7.2</v>
      </c>
      <c r="D329" s="1" t="s">
        <v>38</v>
      </c>
      <c r="E329" s="1">
        <v>4.0999999999999996</v>
      </c>
      <c r="F329" s="1">
        <v>1.3</v>
      </c>
      <c r="G329" s="1">
        <v>2.4900000000000002</v>
      </c>
      <c r="H329" s="1">
        <v>1.8</v>
      </c>
      <c r="I329" s="1" t="s">
        <v>40</v>
      </c>
      <c r="J329" s="1">
        <v>5</v>
      </c>
      <c r="K329" s="1">
        <v>5</v>
      </c>
      <c r="L329" s="1">
        <v>4</v>
      </c>
      <c r="M329" s="8">
        <v>0</v>
      </c>
    </row>
    <row r="330" spans="1:13" x14ac:dyDescent="0.25">
      <c r="A330" s="7">
        <v>15</v>
      </c>
      <c r="B330" s="1" t="s">
        <v>37</v>
      </c>
      <c r="C330" s="1">
        <v>7</v>
      </c>
      <c r="D330" s="1" t="s">
        <v>35</v>
      </c>
      <c r="E330" s="1">
        <v>5.9</v>
      </c>
      <c r="F330" s="1">
        <v>1.3</v>
      </c>
      <c r="G330" s="1">
        <v>2.91</v>
      </c>
      <c r="H330" s="1">
        <v>1.2</v>
      </c>
      <c r="I330" s="1" t="s">
        <v>36</v>
      </c>
      <c r="J330" s="1">
        <v>10</v>
      </c>
      <c r="K330" s="1">
        <v>2</v>
      </c>
      <c r="L330" s="1">
        <v>6</v>
      </c>
      <c r="M330" s="8">
        <v>0</v>
      </c>
    </row>
    <row r="331" spans="1:13" hidden="1" x14ac:dyDescent="0.25">
      <c r="A331" s="7">
        <v>17</v>
      </c>
      <c r="B331" s="1" t="s">
        <v>37</v>
      </c>
      <c r="C331" s="1">
        <v>7.5</v>
      </c>
      <c r="D331" s="1" t="s">
        <v>38</v>
      </c>
      <c r="E331" s="1">
        <v>6.7</v>
      </c>
      <c r="F331" s="1">
        <v>1.1000000000000001</v>
      </c>
      <c r="G331" s="1">
        <v>3.77</v>
      </c>
      <c r="H331" s="1">
        <v>0.6</v>
      </c>
      <c r="I331" s="1" t="s">
        <v>39</v>
      </c>
      <c r="J331" s="1">
        <v>3</v>
      </c>
      <c r="K331" s="1">
        <v>8</v>
      </c>
      <c r="L331" s="1">
        <v>6</v>
      </c>
      <c r="M331" s="8">
        <v>0</v>
      </c>
    </row>
    <row r="332" spans="1:13" hidden="1" x14ac:dyDescent="0.25">
      <c r="A332" s="7">
        <v>14</v>
      </c>
      <c r="B332" s="1" t="s">
        <v>34</v>
      </c>
      <c r="C332" s="1">
        <v>1.4</v>
      </c>
      <c r="D332" s="1" t="s">
        <v>41</v>
      </c>
      <c r="E332" s="1">
        <v>7</v>
      </c>
      <c r="F332" s="1">
        <v>1.8</v>
      </c>
      <c r="G332" s="1">
        <v>2.69</v>
      </c>
      <c r="H332" s="1">
        <v>0.9</v>
      </c>
      <c r="I332" s="1" t="s">
        <v>36</v>
      </c>
      <c r="J332" s="1">
        <v>10</v>
      </c>
      <c r="K332" s="1">
        <v>4</v>
      </c>
      <c r="L332" s="1">
        <v>2</v>
      </c>
      <c r="M332" s="8">
        <v>0</v>
      </c>
    </row>
    <row r="333" spans="1:13" x14ac:dyDescent="0.25">
      <c r="A333" s="7">
        <v>16</v>
      </c>
      <c r="B333" s="1" t="s">
        <v>37</v>
      </c>
      <c r="C333" s="1">
        <v>6.1</v>
      </c>
      <c r="D333" s="1" t="s">
        <v>35</v>
      </c>
      <c r="E333" s="1">
        <v>8.1</v>
      </c>
      <c r="F333" s="1">
        <v>1.4</v>
      </c>
      <c r="G333" s="1">
        <v>3.27</v>
      </c>
      <c r="H333" s="1">
        <v>1.6</v>
      </c>
      <c r="I333" s="1" t="s">
        <v>36</v>
      </c>
      <c r="J333" s="1">
        <v>10</v>
      </c>
      <c r="K333" s="1">
        <v>1</v>
      </c>
      <c r="L333" s="1">
        <v>4</v>
      </c>
      <c r="M333" s="8">
        <v>0</v>
      </c>
    </row>
    <row r="334" spans="1:13" hidden="1" x14ac:dyDescent="0.25">
      <c r="A334" s="7">
        <v>16</v>
      </c>
      <c r="B334" s="1" t="s">
        <v>37</v>
      </c>
      <c r="C334" s="1">
        <v>1.4</v>
      </c>
      <c r="D334" s="1" t="s">
        <v>41</v>
      </c>
      <c r="E334" s="1">
        <v>5.2</v>
      </c>
      <c r="F334" s="1">
        <v>1.7</v>
      </c>
      <c r="G334" s="1">
        <v>3.82</v>
      </c>
      <c r="H334" s="1">
        <v>0.7</v>
      </c>
      <c r="I334" s="1" t="s">
        <v>36</v>
      </c>
      <c r="J334" s="1">
        <v>10</v>
      </c>
      <c r="K334" s="1">
        <v>4</v>
      </c>
      <c r="L334" s="1">
        <v>3</v>
      </c>
      <c r="M334" s="8">
        <v>0</v>
      </c>
    </row>
    <row r="335" spans="1:13" hidden="1" x14ac:dyDescent="0.25">
      <c r="A335" s="7">
        <v>13</v>
      </c>
      <c r="B335" s="1" t="s">
        <v>34</v>
      </c>
      <c r="C335" s="1">
        <v>5.4</v>
      </c>
      <c r="D335" s="1" t="s">
        <v>35</v>
      </c>
      <c r="E335" s="1">
        <v>4.0999999999999996</v>
      </c>
      <c r="F335" s="1">
        <v>2</v>
      </c>
      <c r="G335" s="1">
        <v>3.82</v>
      </c>
      <c r="H335" s="1">
        <v>1.9</v>
      </c>
      <c r="I335" s="1" t="s">
        <v>40</v>
      </c>
      <c r="J335" s="1">
        <v>6</v>
      </c>
      <c r="K335" s="1">
        <v>10</v>
      </c>
      <c r="L335" s="1">
        <v>8</v>
      </c>
      <c r="M335" s="8">
        <v>0</v>
      </c>
    </row>
    <row r="336" spans="1:13" x14ac:dyDescent="0.25">
      <c r="A336" s="7">
        <v>13</v>
      </c>
      <c r="B336" s="1" t="s">
        <v>37</v>
      </c>
      <c r="C336" s="1">
        <v>2.1</v>
      </c>
      <c r="D336" s="1" t="s">
        <v>35</v>
      </c>
      <c r="E336" s="1">
        <v>8.1999999999999993</v>
      </c>
      <c r="F336" s="1">
        <v>0.9</v>
      </c>
      <c r="G336" s="1">
        <v>2.48</v>
      </c>
      <c r="H336" s="1">
        <v>0.5</v>
      </c>
      <c r="I336" s="1" t="s">
        <v>39</v>
      </c>
      <c r="J336" s="1">
        <v>2</v>
      </c>
      <c r="K336" s="1">
        <v>7</v>
      </c>
      <c r="L336" s="1">
        <v>6</v>
      </c>
      <c r="M336" s="8">
        <v>0</v>
      </c>
    </row>
    <row r="337" spans="1:13" hidden="1" x14ac:dyDescent="0.25">
      <c r="A337" s="7">
        <v>14</v>
      </c>
      <c r="B337" s="1" t="s">
        <v>34</v>
      </c>
      <c r="C337" s="1">
        <v>5</v>
      </c>
      <c r="D337" s="1" t="s">
        <v>41</v>
      </c>
      <c r="E337" s="1">
        <v>4.3</v>
      </c>
      <c r="F337" s="1">
        <v>1.1000000000000001</v>
      </c>
      <c r="G337" s="1">
        <v>3.8</v>
      </c>
      <c r="H337" s="1">
        <v>0.4</v>
      </c>
      <c r="I337" s="1" t="s">
        <v>40</v>
      </c>
      <c r="J337" s="1">
        <v>9</v>
      </c>
      <c r="K337" s="1">
        <v>4</v>
      </c>
      <c r="L337" s="1">
        <v>10</v>
      </c>
      <c r="M337" s="8">
        <v>0</v>
      </c>
    </row>
    <row r="338" spans="1:13" x14ac:dyDescent="0.25">
      <c r="A338" s="7">
        <v>13</v>
      </c>
      <c r="B338" s="1" t="s">
        <v>37</v>
      </c>
      <c r="C338" s="1">
        <v>4.4000000000000004</v>
      </c>
      <c r="D338" s="1" t="s">
        <v>35</v>
      </c>
      <c r="E338" s="1">
        <v>4.3</v>
      </c>
      <c r="F338" s="1">
        <v>1.9</v>
      </c>
      <c r="G338" s="1">
        <v>3.51</v>
      </c>
      <c r="H338" s="1">
        <v>0.9</v>
      </c>
      <c r="I338" s="1" t="s">
        <v>40</v>
      </c>
      <c r="J338" s="1">
        <v>8</v>
      </c>
      <c r="K338" s="1">
        <v>4</v>
      </c>
      <c r="L338" s="1">
        <v>3</v>
      </c>
      <c r="M338" s="8">
        <v>0</v>
      </c>
    </row>
    <row r="339" spans="1:13" hidden="1" x14ac:dyDescent="0.25">
      <c r="A339" s="7">
        <v>13</v>
      </c>
      <c r="B339" s="1" t="s">
        <v>34</v>
      </c>
      <c r="C339" s="1">
        <v>3.4</v>
      </c>
      <c r="D339" s="1" t="s">
        <v>41</v>
      </c>
      <c r="E339" s="1">
        <v>8.6</v>
      </c>
      <c r="F339" s="1">
        <v>0.8</v>
      </c>
      <c r="G339" s="1">
        <v>3.08</v>
      </c>
      <c r="H339" s="1">
        <v>0.4</v>
      </c>
      <c r="I339" s="1" t="s">
        <v>36</v>
      </c>
      <c r="J339" s="1">
        <v>7</v>
      </c>
      <c r="K339" s="1">
        <v>10</v>
      </c>
      <c r="L339" s="1">
        <v>6</v>
      </c>
      <c r="M339" s="8">
        <v>0</v>
      </c>
    </row>
    <row r="340" spans="1:13" hidden="1" x14ac:dyDescent="0.25">
      <c r="A340" s="7">
        <v>18</v>
      </c>
      <c r="B340" s="1" t="s">
        <v>34</v>
      </c>
      <c r="C340" s="1">
        <v>1.2</v>
      </c>
      <c r="D340" s="1" t="s">
        <v>35</v>
      </c>
      <c r="E340" s="1">
        <v>6.4</v>
      </c>
      <c r="F340" s="1">
        <v>1.3</v>
      </c>
      <c r="G340" s="1">
        <v>3.03</v>
      </c>
      <c r="H340" s="1">
        <v>1</v>
      </c>
      <c r="I340" s="1" t="s">
        <v>36</v>
      </c>
      <c r="J340" s="1">
        <v>5</v>
      </c>
      <c r="K340" s="1">
        <v>9</v>
      </c>
      <c r="L340" s="1">
        <v>10</v>
      </c>
      <c r="M340" s="8">
        <v>0</v>
      </c>
    </row>
    <row r="341" spans="1:13" hidden="1" x14ac:dyDescent="0.25">
      <c r="A341" s="7">
        <v>14</v>
      </c>
      <c r="B341" s="1" t="s">
        <v>34</v>
      </c>
      <c r="C341" s="1">
        <v>5.5</v>
      </c>
      <c r="D341" s="1" t="s">
        <v>38</v>
      </c>
      <c r="E341" s="1">
        <v>7.3</v>
      </c>
      <c r="F341" s="1">
        <v>1.4</v>
      </c>
      <c r="G341" s="1">
        <v>2.61</v>
      </c>
      <c r="H341" s="1">
        <v>1.2</v>
      </c>
      <c r="I341" s="1" t="s">
        <v>39</v>
      </c>
      <c r="J341" s="1">
        <v>5</v>
      </c>
      <c r="K341" s="1">
        <v>7</v>
      </c>
      <c r="L341" s="1">
        <v>1</v>
      </c>
      <c r="M341" s="8">
        <v>0</v>
      </c>
    </row>
    <row r="342" spans="1:13" hidden="1" x14ac:dyDescent="0.25">
      <c r="A342" s="7">
        <v>15</v>
      </c>
      <c r="B342" s="1" t="s">
        <v>34</v>
      </c>
      <c r="C342" s="1">
        <v>2.2999999999999998</v>
      </c>
      <c r="D342" s="1" t="s">
        <v>41</v>
      </c>
      <c r="E342" s="1">
        <v>7.8</v>
      </c>
      <c r="F342" s="1">
        <v>3</v>
      </c>
      <c r="G342" s="1">
        <v>2.2999999999999998</v>
      </c>
      <c r="H342" s="1">
        <v>1.4</v>
      </c>
      <c r="I342" s="1" t="s">
        <v>40</v>
      </c>
      <c r="J342" s="1">
        <v>4</v>
      </c>
      <c r="K342" s="1">
        <v>9</v>
      </c>
      <c r="L342" s="1">
        <v>10</v>
      </c>
      <c r="M342" s="8">
        <v>0</v>
      </c>
    </row>
    <row r="343" spans="1:13" hidden="1" x14ac:dyDescent="0.25">
      <c r="A343" s="7">
        <v>13</v>
      </c>
      <c r="B343" s="1" t="s">
        <v>37</v>
      </c>
      <c r="C343" s="1">
        <v>1.4</v>
      </c>
      <c r="D343" s="1" t="s">
        <v>41</v>
      </c>
      <c r="E343" s="1">
        <v>7.4</v>
      </c>
      <c r="F343" s="1">
        <v>0.5</v>
      </c>
      <c r="G343" s="1">
        <v>2.3199999999999998</v>
      </c>
      <c r="H343" s="1">
        <v>1.3</v>
      </c>
      <c r="I343" s="1" t="s">
        <v>36</v>
      </c>
      <c r="J343" s="1">
        <v>3</v>
      </c>
      <c r="K343" s="1">
        <v>2</v>
      </c>
      <c r="L343" s="1">
        <v>6</v>
      </c>
      <c r="M343" s="8">
        <v>0</v>
      </c>
    </row>
    <row r="344" spans="1:13" x14ac:dyDescent="0.25">
      <c r="A344" s="7">
        <v>13</v>
      </c>
      <c r="B344" s="1" t="s">
        <v>37</v>
      </c>
      <c r="C344" s="1">
        <v>3</v>
      </c>
      <c r="D344" s="1" t="s">
        <v>35</v>
      </c>
      <c r="E344" s="1">
        <v>7</v>
      </c>
      <c r="F344" s="1">
        <v>0.9</v>
      </c>
      <c r="G344" s="1">
        <v>2.73</v>
      </c>
      <c r="H344" s="1">
        <v>1.7</v>
      </c>
      <c r="I344" s="1" t="s">
        <v>39</v>
      </c>
      <c r="J344" s="1">
        <v>5</v>
      </c>
      <c r="K344" s="1">
        <v>6</v>
      </c>
      <c r="L344" s="1">
        <v>9</v>
      </c>
      <c r="M344" s="8">
        <v>0</v>
      </c>
    </row>
    <row r="345" spans="1:13" hidden="1" x14ac:dyDescent="0.25">
      <c r="A345" s="7">
        <v>14</v>
      </c>
      <c r="B345" s="1" t="s">
        <v>34</v>
      </c>
      <c r="C345" s="1">
        <v>2.8</v>
      </c>
      <c r="D345" s="1" t="s">
        <v>35</v>
      </c>
      <c r="E345" s="1">
        <v>5</v>
      </c>
      <c r="F345" s="1">
        <v>2.5</v>
      </c>
      <c r="G345" s="1">
        <v>3.92</v>
      </c>
      <c r="H345" s="1">
        <v>1.8</v>
      </c>
      <c r="I345" s="1" t="s">
        <v>39</v>
      </c>
      <c r="J345" s="1">
        <v>1</v>
      </c>
      <c r="K345" s="1">
        <v>3</v>
      </c>
      <c r="L345" s="1">
        <v>4</v>
      </c>
      <c r="M345" s="8">
        <v>0</v>
      </c>
    </row>
    <row r="346" spans="1:13" hidden="1" x14ac:dyDescent="0.25">
      <c r="A346" s="7">
        <v>14</v>
      </c>
      <c r="B346" s="1" t="s">
        <v>34</v>
      </c>
      <c r="C346" s="1">
        <v>7</v>
      </c>
      <c r="D346" s="1" t="s">
        <v>38</v>
      </c>
      <c r="E346" s="1">
        <v>6.9</v>
      </c>
      <c r="F346" s="1">
        <v>1</v>
      </c>
      <c r="G346" s="1">
        <v>3.93</v>
      </c>
      <c r="H346" s="1">
        <v>1.1000000000000001</v>
      </c>
      <c r="I346" s="1" t="s">
        <v>39</v>
      </c>
      <c r="J346" s="1">
        <v>9</v>
      </c>
      <c r="K346" s="1">
        <v>3</v>
      </c>
      <c r="L346" s="1">
        <v>7</v>
      </c>
      <c r="M346" s="8">
        <v>0</v>
      </c>
    </row>
    <row r="347" spans="1:13" hidden="1" x14ac:dyDescent="0.25">
      <c r="A347" s="7">
        <v>13</v>
      </c>
      <c r="B347" s="1" t="s">
        <v>37</v>
      </c>
      <c r="C347" s="1">
        <v>1.6</v>
      </c>
      <c r="D347" s="1" t="s">
        <v>41</v>
      </c>
      <c r="E347" s="1">
        <v>8.4</v>
      </c>
      <c r="F347" s="1">
        <v>1.4</v>
      </c>
      <c r="G347" s="1">
        <v>3.47</v>
      </c>
      <c r="H347" s="1">
        <v>0.1</v>
      </c>
      <c r="I347" s="1" t="s">
        <v>40</v>
      </c>
      <c r="J347" s="1">
        <v>1</v>
      </c>
      <c r="K347" s="1">
        <v>6</v>
      </c>
      <c r="L347" s="1">
        <v>6</v>
      </c>
      <c r="M347" s="8">
        <v>0</v>
      </c>
    </row>
    <row r="348" spans="1:13" x14ac:dyDescent="0.25">
      <c r="A348" s="7">
        <v>15</v>
      </c>
      <c r="B348" s="1" t="s">
        <v>37</v>
      </c>
      <c r="C348" s="1">
        <v>4.2</v>
      </c>
      <c r="D348" s="1" t="s">
        <v>35</v>
      </c>
      <c r="E348" s="1">
        <v>8.4</v>
      </c>
      <c r="F348" s="1">
        <v>1.2</v>
      </c>
      <c r="G348" s="1">
        <v>2.61</v>
      </c>
      <c r="H348" s="1">
        <v>0</v>
      </c>
      <c r="I348" s="1" t="s">
        <v>40</v>
      </c>
      <c r="J348" s="1">
        <v>3</v>
      </c>
      <c r="K348" s="1">
        <v>10</v>
      </c>
      <c r="L348" s="1">
        <v>2</v>
      </c>
      <c r="M348" s="8">
        <v>0</v>
      </c>
    </row>
    <row r="349" spans="1:13" hidden="1" x14ac:dyDescent="0.25">
      <c r="A349" s="7">
        <v>17</v>
      </c>
      <c r="B349" s="1" t="s">
        <v>34</v>
      </c>
      <c r="C349" s="1">
        <v>4.9000000000000004</v>
      </c>
      <c r="D349" s="1" t="s">
        <v>35</v>
      </c>
      <c r="E349" s="1">
        <v>8.6</v>
      </c>
      <c r="F349" s="1">
        <v>3</v>
      </c>
      <c r="G349" s="1">
        <v>3.62</v>
      </c>
      <c r="H349" s="1">
        <v>1.2</v>
      </c>
      <c r="I349" s="1" t="s">
        <v>36</v>
      </c>
      <c r="J349" s="1">
        <v>6</v>
      </c>
      <c r="K349" s="1">
        <v>6</v>
      </c>
      <c r="L349" s="1">
        <v>9</v>
      </c>
      <c r="M349" s="8">
        <v>0</v>
      </c>
    </row>
    <row r="350" spans="1:13" x14ac:dyDescent="0.25">
      <c r="A350" s="7">
        <v>14</v>
      </c>
      <c r="B350" s="1" t="s">
        <v>37</v>
      </c>
      <c r="C350" s="1">
        <v>3.6</v>
      </c>
      <c r="D350" s="1" t="s">
        <v>35</v>
      </c>
      <c r="E350" s="1">
        <v>4.0999999999999996</v>
      </c>
      <c r="F350" s="1">
        <v>2.9</v>
      </c>
      <c r="G350" s="1">
        <v>2.83</v>
      </c>
      <c r="H350" s="1">
        <v>0.5</v>
      </c>
      <c r="I350" s="1" t="s">
        <v>40</v>
      </c>
      <c r="J350" s="1">
        <v>10</v>
      </c>
      <c r="K350" s="1">
        <v>6</v>
      </c>
      <c r="L350" s="1">
        <v>7</v>
      </c>
      <c r="M350" s="8">
        <v>0</v>
      </c>
    </row>
    <row r="351" spans="1:13" hidden="1" x14ac:dyDescent="0.25">
      <c r="A351" s="7">
        <v>19</v>
      </c>
      <c r="B351" s="1" t="s">
        <v>34</v>
      </c>
      <c r="C351" s="1">
        <v>1.8</v>
      </c>
      <c r="D351" s="1" t="s">
        <v>38</v>
      </c>
      <c r="E351" s="1">
        <v>6</v>
      </c>
      <c r="F351" s="1">
        <v>2.2999999999999998</v>
      </c>
      <c r="G351" s="1">
        <v>3.22</v>
      </c>
      <c r="H351" s="1">
        <v>1</v>
      </c>
      <c r="I351" s="1" t="s">
        <v>40</v>
      </c>
      <c r="J351" s="1">
        <v>5</v>
      </c>
      <c r="K351" s="1">
        <v>6</v>
      </c>
      <c r="L351" s="1">
        <v>8</v>
      </c>
      <c r="M351" s="8">
        <v>0</v>
      </c>
    </row>
    <row r="352" spans="1:13" x14ac:dyDescent="0.25">
      <c r="A352" s="7">
        <v>17</v>
      </c>
      <c r="B352" s="1" t="s">
        <v>37</v>
      </c>
      <c r="C352" s="1">
        <v>2.7</v>
      </c>
      <c r="D352" s="1" t="s">
        <v>35</v>
      </c>
      <c r="E352" s="1">
        <v>5.4</v>
      </c>
      <c r="F352" s="1">
        <v>2.6</v>
      </c>
      <c r="G352" s="1">
        <v>2.0699999999999998</v>
      </c>
      <c r="H352" s="1">
        <v>0</v>
      </c>
      <c r="I352" s="1" t="s">
        <v>40</v>
      </c>
      <c r="J352" s="1">
        <v>6</v>
      </c>
      <c r="K352" s="1">
        <v>5</v>
      </c>
      <c r="L352" s="1">
        <v>6</v>
      </c>
      <c r="M352" s="8">
        <v>0</v>
      </c>
    </row>
    <row r="353" spans="1:13" x14ac:dyDescent="0.25">
      <c r="A353" s="7">
        <v>15</v>
      </c>
      <c r="B353" s="1" t="s">
        <v>37</v>
      </c>
      <c r="C353" s="1">
        <v>1.2</v>
      </c>
      <c r="D353" s="1" t="s">
        <v>35</v>
      </c>
      <c r="E353" s="1">
        <v>5.2</v>
      </c>
      <c r="F353" s="1">
        <v>1</v>
      </c>
      <c r="G353" s="1">
        <v>2.78</v>
      </c>
      <c r="H353" s="1">
        <v>1.3</v>
      </c>
      <c r="I353" s="1" t="s">
        <v>39</v>
      </c>
      <c r="J353" s="1">
        <v>5</v>
      </c>
      <c r="K353" s="1">
        <v>8</v>
      </c>
      <c r="L353" s="1">
        <v>10</v>
      </c>
      <c r="M353" s="8">
        <v>0</v>
      </c>
    </row>
    <row r="354" spans="1:13" hidden="1" x14ac:dyDescent="0.25">
      <c r="A354" s="7">
        <v>18</v>
      </c>
      <c r="B354" s="1" t="s">
        <v>37</v>
      </c>
      <c r="C354" s="1">
        <v>6.2</v>
      </c>
      <c r="D354" s="1" t="s">
        <v>41</v>
      </c>
      <c r="E354" s="1">
        <v>6.7</v>
      </c>
      <c r="F354" s="1">
        <v>1.4</v>
      </c>
      <c r="G354" s="1">
        <v>3.42</v>
      </c>
      <c r="H354" s="1">
        <v>0.9</v>
      </c>
      <c r="I354" s="1" t="s">
        <v>36</v>
      </c>
      <c r="J354" s="1">
        <v>6</v>
      </c>
      <c r="K354" s="1">
        <v>8</v>
      </c>
      <c r="L354" s="1">
        <v>6</v>
      </c>
      <c r="M354" s="8">
        <v>0</v>
      </c>
    </row>
    <row r="355" spans="1:13" hidden="1" x14ac:dyDescent="0.25">
      <c r="A355" s="7">
        <v>18</v>
      </c>
      <c r="B355" s="1" t="s">
        <v>34</v>
      </c>
      <c r="C355" s="1">
        <v>1.6</v>
      </c>
      <c r="D355" s="1" t="s">
        <v>38</v>
      </c>
      <c r="E355" s="1">
        <v>6.2</v>
      </c>
      <c r="F355" s="1">
        <v>1.9</v>
      </c>
      <c r="G355" s="1">
        <v>2.0499999999999998</v>
      </c>
      <c r="H355" s="1">
        <v>0.3</v>
      </c>
      <c r="I355" s="1" t="s">
        <v>36</v>
      </c>
      <c r="J355" s="1">
        <v>8</v>
      </c>
      <c r="K355" s="1">
        <v>9</v>
      </c>
      <c r="L355" s="1">
        <v>9</v>
      </c>
      <c r="M355" s="8">
        <v>0</v>
      </c>
    </row>
    <row r="356" spans="1:13" hidden="1" x14ac:dyDescent="0.25">
      <c r="A356" s="7">
        <v>18</v>
      </c>
      <c r="B356" s="1" t="s">
        <v>37</v>
      </c>
      <c r="C356" s="1">
        <v>5.0999999999999996</v>
      </c>
      <c r="D356" s="1" t="s">
        <v>38</v>
      </c>
      <c r="E356" s="1">
        <v>7.4</v>
      </c>
      <c r="F356" s="1">
        <v>1.3</v>
      </c>
      <c r="G356" s="1">
        <v>3.5</v>
      </c>
      <c r="H356" s="1">
        <v>1.6</v>
      </c>
      <c r="I356" s="1" t="s">
        <v>39</v>
      </c>
      <c r="J356" s="1">
        <v>1</v>
      </c>
      <c r="K356" s="1">
        <v>5</v>
      </c>
      <c r="L356" s="1">
        <v>5</v>
      </c>
      <c r="M356" s="8">
        <v>0</v>
      </c>
    </row>
    <row r="357" spans="1:13" hidden="1" x14ac:dyDescent="0.25">
      <c r="A357" s="7">
        <v>13</v>
      </c>
      <c r="B357" s="1" t="s">
        <v>37</v>
      </c>
      <c r="C357" s="1">
        <v>5.2</v>
      </c>
      <c r="D357" s="1" t="s">
        <v>38</v>
      </c>
      <c r="E357" s="1">
        <v>8.1999999999999993</v>
      </c>
      <c r="F357" s="1">
        <v>2.8</v>
      </c>
      <c r="G357" s="1">
        <v>2.12</v>
      </c>
      <c r="H357" s="1">
        <v>1.4</v>
      </c>
      <c r="I357" s="1" t="s">
        <v>40</v>
      </c>
      <c r="J357" s="1">
        <v>1</v>
      </c>
      <c r="K357" s="1">
        <v>8</v>
      </c>
      <c r="L357" s="1">
        <v>1</v>
      </c>
      <c r="M357" s="8">
        <v>0</v>
      </c>
    </row>
    <row r="358" spans="1:13" hidden="1" x14ac:dyDescent="0.25">
      <c r="A358" s="7">
        <v>14</v>
      </c>
      <c r="B358" s="1" t="s">
        <v>34</v>
      </c>
      <c r="C358" s="1">
        <v>4.0999999999999996</v>
      </c>
      <c r="D358" s="1" t="s">
        <v>38</v>
      </c>
      <c r="E358" s="1">
        <v>5.0999999999999996</v>
      </c>
      <c r="F358" s="1">
        <v>2</v>
      </c>
      <c r="G358" s="1">
        <v>3.51</v>
      </c>
      <c r="H358" s="1">
        <v>0.7</v>
      </c>
      <c r="I358" s="1" t="s">
        <v>39</v>
      </c>
      <c r="J358" s="1">
        <v>2</v>
      </c>
      <c r="K358" s="1">
        <v>9</v>
      </c>
      <c r="L358" s="1">
        <v>1</v>
      </c>
      <c r="M358" s="8">
        <v>0</v>
      </c>
    </row>
    <row r="359" spans="1:13" hidden="1" x14ac:dyDescent="0.25">
      <c r="A359" s="7">
        <v>19</v>
      </c>
      <c r="B359" s="1" t="s">
        <v>37</v>
      </c>
      <c r="C359" s="1">
        <v>5.4</v>
      </c>
      <c r="D359" s="1" t="s">
        <v>38</v>
      </c>
      <c r="E359" s="1">
        <v>4.4000000000000004</v>
      </c>
      <c r="F359" s="1">
        <v>2.2999999999999998</v>
      </c>
      <c r="G359" s="1">
        <v>3.34</v>
      </c>
      <c r="H359" s="1">
        <v>0.4</v>
      </c>
      <c r="I359" s="1" t="s">
        <v>39</v>
      </c>
      <c r="J359" s="1">
        <v>3</v>
      </c>
      <c r="K359" s="1">
        <v>3</v>
      </c>
      <c r="L359" s="1">
        <v>8</v>
      </c>
      <c r="M359" s="8">
        <v>0</v>
      </c>
    </row>
    <row r="360" spans="1:13" hidden="1" x14ac:dyDescent="0.25">
      <c r="A360" s="7">
        <v>13</v>
      </c>
      <c r="B360" s="1" t="s">
        <v>34</v>
      </c>
      <c r="C360" s="1">
        <v>2.4</v>
      </c>
      <c r="D360" s="1" t="s">
        <v>38</v>
      </c>
      <c r="E360" s="1">
        <v>8.4</v>
      </c>
      <c r="F360" s="1">
        <v>1.6</v>
      </c>
      <c r="G360" s="1">
        <v>2.82</v>
      </c>
      <c r="H360" s="1">
        <v>1.1000000000000001</v>
      </c>
      <c r="I360" s="1" t="s">
        <v>36</v>
      </c>
      <c r="J360" s="1">
        <v>1</v>
      </c>
      <c r="K360" s="1">
        <v>3</v>
      </c>
      <c r="L360" s="1">
        <v>2</v>
      </c>
      <c r="M360" s="8">
        <v>0</v>
      </c>
    </row>
    <row r="361" spans="1:13" hidden="1" x14ac:dyDescent="0.25">
      <c r="A361" s="7">
        <v>18</v>
      </c>
      <c r="B361" s="1" t="s">
        <v>34</v>
      </c>
      <c r="C361" s="1">
        <v>1.7</v>
      </c>
      <c r="D361" s="1" t="s">
        <v>41</v>
      </c>
      <c r="E361" s="1">
        <v>5.6</v>
      </c>
      <c r="F361" s="1">
        <v>1.4</v>
      </c>
      <c r="G361" s="1">
        <v>2.85</v>
      </c>
      <c r="H361" s="1">
        <v>1</v>
      </c>
      <c r="I361" s="1" t="s">
        <v>39</v>
      </c>
      <c r="J361" s="1">
        <v>3</v>
      </c>
      <c r="K361" s="1">
        <v>3</v>
      </c>
      <c r="L361" s="1">
        <v>7</v>
      </c>
      <c r="M361" s="8">
        <v>0</v>
      </c>
    </row>
    <row r="362" spans="1:13" hidden="1" x14ac:dyDescent="0.25">
      <c r="A362" s="7">
        <v>18</v>
      </c>
      <c r="B362" s="1" t="s">
        <v>34</v>
      </c>
      <c r="C362" s="1">
        <v>6</v>
      </c>
      <c r="D362" s="1" t="s">
        <v>41</v>
      </c>
      <c r="E362" s="1">
        <v>6.1</v>
      </c>
      <c r="F362" s="1">
        <v>0.9</v>
      </c>
      <c r="G362" s="1">
        <v>2.68</v>
      </c>
      <c r="H362" s="1">
        <v>0.3</v>
      </c>
      <c r="I362" s="1" t="s">
        <v>40</v>
      </c>
      <c r="J362" s="1">
        <v>2</v>
      </c>
      <c r="K362" s="1">
        <v>10</v>
      </c>
      <c r="L362" s="1">
        <v>10</v>
      </c>
      <c r="M362" s="8">
        <v>0</v>
      </c>
    </row>
    <row r="363" spans="1:13" hidden="1" x14ac:dyDescent="0.25">
      <c r="A363" s="7">
        <v>17</v>
      </c>
      <c r="B363" s="1" t="s">
        <v>34</v>
      </c>
      <c r="C363" s="1">
        <v>7.2</v>
      </c>
      <c r="D363" s="1" t="s">
        <v>41</v>
      </c>
      <c r="E363" s="1">
        <v>6.1</v>
      </c>
      <c r="F363" s="1">
        <v>0.8</v>
      </c>
      <c r="G363" s="1">
        <v>3.9</v>
      </c>
      <c r="H363" s="1">
        <v>0.2</v>
      </c>
      <c r="I363" s="1" t="s">
        <v>36</v>
      </c>
      <c r="J363" s="1">
        <v>8</v>
      </c>
      <c r="K363" s="1">
        <v>3</v>
      </c>
      <c r="L363" s="1">
        <v>7</v>
      </c>
      <c r="M363" s="8">
        <v>0</v>
      </c>
    </row>
    <row r="364" spans="1:13" hidden="1" x14ac:dyDescent="0.25">
      <c r="A364" s="7">
        <v>18</v>
      </c>
      <c r="B364" s="1" t="s">
        <v>34</v>
      </c>
      <c r="C364" s="1">
        <v>3.5</v>
      </c>
      <c r="D364" s="1" t="s">
        <v>38</v>
      </c>
      <c r="E364" s="1">
        <v>6.3</v>
      </c>
      <c r="F364" s="1">
        <v>2.9</v>
      </c>
      <c r="G364" s="1">
        <v>3.35</v>
      </c>
      <c r="H364" s="1">
        <v>1.6</v>
      </c>
      <c r="I364" s="1" t="s">
        <v>39</v>
      </c>
      <c r="J364" s="1">
        <v>1</v>
      </c>
      <c r="K364" s="1">
        <v>4</v>
      </c>
      <c r="L364" s="1">
        <v>2</v>
      </c>
      <c r="M364" s="8">
        <v>0</v>
      </c>
    </row>
    <row r="365" spans="1:13" x14ac:dyDescent="0.25">
      <c r="A365" s="7">
        <v>15</v>
      </c>
      <c r="B365" s="1" t="s">
        <v>37</v>
      </c>
      <c r="C365" s="1">
        <v>3.8</v>
      </c>
      <c r="D365" s="1" t="s">
        <v>35</v>
      </c>
      <c r="E365" s="1">
        <v>4.4000000000000004</v>
      </c>
      <c r="F365" s="1">
        <v>1.9</v>
      </c>
      <c r="G365" s="1">
        <v>2.04</v>
      </c>
      <c r="H365" s="1">
        <v>0.5</v>
      </c>
      <c r="I365" s="1" t="s">
        <v>40</v>
      </c>
      <c r="J365" s="1">
        <v>4</v>
      </c>
      <c r="K365" s="1">
        <v>9</v>
      </c>
      <c r="L365" s="1">
        <v>7</v>
      </c>
      <c r="M365" s="8">
        <v>0</v>
      </c>
    </row>
    <row r="366" spans="1:13" hidden="1" x14ac:dyDescent="0.25">
      <c r="A366" s="7">
        <v>18</v>
      </c>
      <c r="B366" s="1" t="s">
        <v>37</v>
      </c>
      <c r="C366" s="1">
        <v>4.5</v>
      </c>
      <c r="D366" s="1" t="s">
        <v>41</v>
      </c>
      <c r="E366" s="1">
        <v>8</v>
      </c>
      <c r="F366" s="1">
        <v>1.5</v>
      </c>
      <c r="G366" s="1">
        <v>3.45</v>
      </c>
      <c r="H366" s="1">
        <v>1</v>
      </c>
      <c r="I366" s="1" t="s">
        <v>36</v>
      </c>
      <c r="J366" s="1">
        <v>4</v>
      </c>
      <c r="K366" s="1">
        <v>3</v>
      </c>
      <c r="L366" s="1">
        <v>9</v>
      </c>
      <c r="M366" s="8">
        <v>0</v>
      </c>
    </row>
    <row r="367" spans="1:13" hidden="1" x14ac:dyDescent="0.25">
      <c r="A367" s="7">
        <v>16</v>
      </c>
      <c r="B367" s="1" t="s">
        <v>37</v>
      </c>
      <c r="C367" s="1">
        <v>7.3</v>
      </c>
      <c r="D367" s="1" t="s">
        <v>41</v>
      </c>
      <c r="E367" s="1">
        <v>7.2</v>
      </c>
      <c r="F367" s="1">
        <v>0.5</v>
      </c>
      <c r="G367" s="1">
        <v>2.78</v>
      </c>
      <c r="H367" s="1">
        <v>1.9</v>
      </c>
      <c r="I367" s="1" t="s">
        <v>36</v>
      </c>
      <c r="J367" s="1">
        <v>7</v>
      </c>
      <c r="K367" s="1">
        <v>3</v>
      </c>
      <c r="L367" s="1">
        <v>9</v>
      </c>
      <c r="M367" s="8">
        <v>0</v>
      </c>
    </row>
    <row r="368" spans="1:13" x14ac:dyDescent="0.25">
      <c r="A368" s="7">
        <v>18</v>
      </c>
      <c r="B368" s="1" t="s">
        <v>37</v>
      </c>
      <c r="C368" s="1">
        <v>6.4</v>
      </c>
      <c r="D368" s="1" t="s">
        <v>35</v>
      </c>
      <c r="E368" s="1">
        <v>7.7</v>
      </c>
      <c r="F368" s="1">
        <v>0.5</v>
      </c>
      <c r="G368" s="1">
        <v>3.05</v>
      </c>
      <c r="H368" s="1">
        <v>1.2</v>
      </c>
      <c r="I368" s="1" t="s">
        <v>36</v>
      </c>
      <c r="J368" s="1">
        <v>3</v>
      </c>
      <c r="K368" s="1">
        <v>1</v>
      </c>
      <c r="L368" s="1">
        <v>2</v>
      </c>
      <c r="M368" s="8">
        <v>0</v>
      </c>
    </row>
    <row r="369" spans="1:13" hidden="1" x14ac:dyDescent="0.25">
      <c r="A369" s="7">
        <v>16</v>
      </c>
      <c r="B369" s="1" t="s">
        <v>34</v>
      </c>
      <c r="C369" s="1">
        <v>5.3</v>
      </c>
      <c r="D369" s="1" t="s">
        <v>38</v>
      </c>
      <c r="E369" s="1">
        <v>8.4</v>
      </c>
      <c r="F369" s="1">
        <v>2.2000000000000002</v>
      </c>
      <c r="G369" s="1">
        <v>2.81</v>
      </c>
      <c r="H369" s="1">
        <v>0.6</v>
      </c>
      <c r="I369" s="1" t="s">
        <v>39</v>
      </c>
      <c r="J369" s="1">
        <v>2</v>
      </c>
      <c r="K369" s="1">
        <v>8</v>
      </c>
      <c r="L369" s="1">
        <v>8</v>
      </c>
      <c r="M369" s="8">
        <v>0</v>
      </c>
    </row>
    <row r="370" spans="1:13" hidden="1" x14ac:dyDescent="0.25">
      <c r="A370" s="7">
        <v>13</v>
      </c>
      <c r="B370" s="1" t="s">
        <v>34</v>
      </c>
      <c r="C370" s="1">
        <v>2.4</v>
      </c>
      <c r="D370" s="1" t="s">
        <v>35</v>
      </c>
      <c r="E370" s="1">
        <v>7.1</v>
      </c>
      <c r="F370" s="1">
        <v>0.7</v>
      </c>
      <c r="G370" s="1">
        <v>3.64</v>
      </c>
      <c r="H370" s="1">
        <v>1.1000000000000001</v>
      </c>
      <c r="I370" s="1" t="s">
        <v>39</v>
      </c>
      <c r="J370" s="1">
        <v>6</v>
      </c>
      <c r="K370" s="1">
        <v>5</v>
      </c>
      <c r="L370" s="1">
        <v>5</v>
      </c>
      <c r="M370" s="8">
        <v>0</v>
      </c>
    </row>
    <row r="371" spans="1:13" hidden="1" x14ac:dyDescent="0.25">
      <c r="A371" s="7">
        <v>13</v>
      </c>
      <c r="B371" s="1" t="s">
        <v>34</v>
      </c>
      <c r="C371" s="1">
        <v>8</v>
      </c>
      <c r="D371" s="1" t="s">
        <v>41</v>
      </c>
      <c r="E371" s="1">
        <v>8.9</v>
      </c>
      <c r="F371" s="1">
        <v>2.2000000000000002</v>
      </c>
      <c r="G371" s="1">
        <v>3.82</v>
      </c>
      <c r="H371" s="1">
        <v>1.2</v>
      </c>
      <c r="I371" s="1" t="s">
        <v>36</v>
      </c>
      <c r="J371" s="1">
        <v>8</v>
      </c>
      <c r="K371" s="1">
        <v>8</v>
      </c>
      <c r="L371" s="1">
        <v>4</v>
      </c>
      <c r="M371" s="8">
        <v>0</v>
      </c>
    </row>
    <row r="372" spans="1:13" hidden="1" x14ac:dyDescent="0.25">
      <c r="A372" s="7">
        <v>15</v>
      </c>
      <c r="B372" s="1" t="s">
        <v>34</v>
      </c>
      <c r="C372" s="1">
        <v>7.3</v>
      </c>
      <c r="D372" s="1" t="s">
        <v>41</v>
      </c>
      <c r="E372" s="1">
        <v>4.4000000000000004</v>
      </c>
      <c r="F372" s="1">
        <v>2.2999999999999998</v>
      </c>
      <c r="G372" s="1">
        <v>2.76</v>
      </c>
      <c r="H372" s="1">
        <v>1.8</v>
      </c>
      <c r="I372" s="1" t="s">
        <v>40</v>
      </c>
      <c r="J372" s="1">
        <v>4</v>
      </c>
      <c r="K372" s="1">
        <v>6</v>
      </c>
      <c r="L372" s="1">
        <v>9</v>
      </c>
      <c r="M372" s="8">
        <v>0</v>
      </c>
    </row>
    <row r="373" spans="1:13" hidden="1" x14ac:dyDescent="0.25">
      <c r="A373" s="7">
        <v>17</v>
      </c>
      <c r="B373" s="1" t="s">
        <v>37</v>
      </c>
      <c r="C373" s="1">
        <v>4.5</v>
      </c>
      <c r="D373" s="1" t="s">
        <v>41</v>
      </c>
      <c r="E373" s="1">
        <v>7.3</v>
      </c>
      <c r="F373" s="1">
        <v>0.9</v>
      </c>
      <c r="G373" s="1">
        <v>2.34</v>
      </c>
      <c r="H373" s="1">
        <v>0.9</v>
      </c>
      <c r="I373" s="1" t="s">
        <v>40</v>
      </c>
      <c r="J373" s="1">
        <v>7</v>
      </c>
      <c r="K373" s="1">
        <v>3</v>
      </c>
      <c r="L373" s="1">
        <v>8</v>
      </c>
      <c r="M373" s="8">
        <v>0</v>
      </c>
    </row>
    <row r="374" spans="1:13" hidden="1" x14ac:dyDescent="0.25">
      <c r="A374" s="7">
        <v>19</v>
      </c>
      <c r="B374" s="1" t="s">
        <v>34</v>
      </c>
      <c r="C374" s="1">
        <v>5</v>
      </c>
      <c r="D374" s="1" t="s">
        <v>41</v>
      </c>
      <c r="E374" s="1">
        <v>9</v>
      </c>
      <c r="F374" s="1">
        <v>2.4</v>
      </c>
      <c r="G374" s="1">
        <v>2.5299999999999998</v>
      </c>
      <c r="H374" s="1">
        <v>0.4</v>
      </c>
      <c r="I374" s="1" t="s">
        <v>40</v>
      </c>
      <c r="J374" s="1">
        <v>7</v>
      </c>
      <c r="K374" s="1">
        <v>2</v>
      </c>
      <c r="L374" s="1">
        <v>10</v>
      </c>
      <c r="M374" s="8">
        <v>0</v>
      </c>
    </row>
    <row r="375" spans="1:13" hidden="1" x14ac:dyDescent="0.25">
      <c r="A375" s="7">
        <v>16</v>
      </c>
      <c r="B375" s="1" t="s">
        <v>37</v>
      </c>
      <c r="C375" s="1">
        <v>5.7</v>
      </c>
      <c r="D375" s="1" t="s">
        <v>41</v>
      </c>
      <c r="E375" s="1">
        <v>4.2</v>
      </c>
      <c r="F375" s="1">
        <v>1.4</v>
      </c>
      <c r="G375" s="1">
        <v>2.56</v>
      </c>
      <c r="H375" s="1">
        <v>0.1</v>
      </c>
      <c r="I375" s="1" t="s">
        <v>39</v>
      </c>
      <c r="J375" s="1">
        <v>4</v>
      </c>
      <c r="K375" s="1">
        <v>3</v>
      </c>
      <c r="L375" s="1">
        <v>1</v>
      </c>
      <c r="M375" s="8">
        <v>0</v>
      </c>
    </row>
    <row r="376" spans="1:13" x14ac:dyDescent="0.25">
      <c r="A376" s="7">
        <v>18</v>
      </c>
      <c r="B376" s="1" t="s">
        <v>37</v>
      </c>
      <c r="C376" s="1">
        <v>2.9</v>
      </c>
      <c r="D376" s="1" t="s">
        <v>35</v>
      </c>
      <c r="E376" s="1">
        <v>8.4</v>
      </c>
      <c r="F376" s="1">
        <v>2.6</v>
      </c>
      <c r="G376" s="1">
        <v>2.57</v>
      </c>
      <c r="H376" s="1">
        <v>1.8</v>
      </c>
      <c r="I376" s="1" t="s">
        <v>40</v>
      </c>
      <c r="J376" s="1">
        <v>4</v>
      </c>
      <c r="K376" s="1">
        <v>1</v>
      </c>
      <c r="L376" s="1">
        <v>3</v>
      </c>
      <c r="M376" s="8">
        <v>0</v>
      </c>
    </row>
    <row r="377" spans="1:13" hidden="1" x14ac:dyDescent="0.25">
      <c r="A377" s="7">
        <v>13</v>
      </c>
      <c r="B377" s="1" t="s">
        <v>34</v>
      </c>
      <c r="C377" s="1">
        <v>7.9</v>
      </c>
      <c r="D377" s="1" t="s">
        <v>35</v>
      </c>
      <c r="E377" s="1">
        <v>8.8000000000000007</v>
      </c>
      <c r="F377" s="1">
        <v>2.2999999999999998</v>
      </c>
      <c r="G377" s="1">
        <v>3.39</v>
      </c>
      <c r="H377" s="1">
        <v>0.5</v>
      </c>
      <c r="I377" s="1" t="s">
        <v>36</v>
      </c>
      <c r="J377" s="1">
        <v>1</v>
      </c>
      <c r="K377" s="1">
        <v>9</v>
      </c>
      <c r="L377" s="1">
        <v>3</v>
      </c>
      <c r="M377" s="8">
        <v>0</v>
      </c>
    </row>
    <row r="378" spans="1:13" hidden="1" x14ac:dyDescent="0.25">
      <c r="A378" s="7">
        <v>19</v>
      </c>
      <c r="B378" s="1" t="s">
        <v>34</v>
      </c>
      <c r="C378" s="1">
        <v>4.8</v>
      </c>
      <c r="D378" s="1" t="s">
        <v>38</v>
      </c>
      <c r="E378" s="1">
        <v>5</v>
      </c>
      <c r="F378" s="1">
        <v>2.6</v>
      </c>
      <c r="G378" s="1">
        <v>3.25</v>
      </c>
      <c r="H378" s="1">
        <v>1.6</v>
      </c>
      <c r="I378" s="1" t="s">
        <v>36</v>
      </c>
      <c r="J378" s="1">
        <v>4</v>
      </c>
      <c r="K378" s="1">
        <v>6</v>
      </c>
      <c r="L378" s="1">
        <v>1</v>
      </c>
      <c r="M378" s="8">
        <v>0</v>
      </c>
    </row>
    <row r="379" spans="1:13" hidden="1" x14ac:dyDescent="0.25">
      <c r="A379" s="7">
        <v>13</v>
      </c>
      <c r="B379" s="1" t="s">
        <v>37</v>
      </c>
      <c r="C379" s="1">
        <v>3</v>
      </c>
      <c r="D379" s="1" t="s">
        <v>41</v>
      </c>
      <c r="E379" s="1">
        <v>6</v>
      </c>
      <c r="F379" s="1">
        <v>1</v>
      </c>
      <c r="G379" s="1">
        <v>2.63</v>
      </c>
      <c r="H379" s="1">
        <v>0.1</v>
      </c>
      <c r="I379" s="1" t="s">
        <v>36</v>
      </c>
      <c r="J379" s="1">
        <v>5</v>
      </c>
      <c r="K379" s="1">
        <v>10</v>
      </c>
      <c r="L379" s="1">
        <v>9</v>
      </c>
      <c r="M379" s="8">
        <v>0</v>
      </c>
    </row>
    <row r="380" spans="1:13" hidden="1" x14ac:dyDescent="0.25">
      <c r="A380" s="7">
        <v>14</v>
      </c>
      <c r="B380" s="1" t="s">
        <v>37</v>
      </c>
      <c r="C380" s="1">
        <v>4.0999999999999996</v>
      </c>
      <c r="D380" s="1" t="s">
        <v>41</v>
      </c>
      <c r="E380" s="1">
        <v>6.4</v>
      </c>
      <c r="F380" s="1">
        <v>2</v>
      </c>
      <c r="G380" s="1">
        <v>3.69</v>
      </c>
      <c r="H380" s="1">
        <v>1.5</v>
      </c>
      <c r="I380" s="1" t="s">
        <v>40</v>
      </c>
      <c r="J380" s="1">
        <v>7</v>
      </c>
      <c r="K380" s="1">
        <v>7</v>
      </c>
      <c r="L380" s="1">
        <v>9</v>
      </c>
      <c r="M380" s="8">
        <v>0</v>
      </c>
    </row>
    <row r="381" spans="1:13" hidden="1" x14ac:dyDescent="0.25">
      <c r="A381" s="7">
        <v>19</v>
      </c>
      <c r="B381" s="1" t="s">
        <v>34</v>
      </c>
      <c r="C381" s="1">
        <v>6.9</v>
      </c>
      <c r="D381" s="1" t="s">
        <v>35</v>
      </c>
      <c r="E381" s="1">
        <v>5</v>
      </c>
      <c r="F381" s="1">
        <v>1.2</v>
      </c>
      <c r="G381" s="1">
        <v>2.56</v>
      </c>
      <c r="H381" s="1">
        <v>1.6</v>
      </c>
      <c r="I381" s="1" t="s">
        <v>39</v>
      </c>
      <c r="J381" s="1">
        <v>3</v>
      </c>
      <c r="K381" s="1">
        <v>10</v>
      </c>
      <c r="L381" s="1">
        <v>8</v>
      </c>
      <c r="M381" s="8">
        <v>0</v>
      </c>
    </row>
    <row r="382" spans="1:13" x14ac:dyDescent="0.25">
      <c r="A382" s="7">
        <v>17</v>
      </c>
      <c r="B382" s="1" t="s">
        <v>37</v>
      </c>
      <c r="C382" s="1">
        <v>3.2</v>
      </c>
      <c r="D382" s="1" t="s">
        <v>35</v>
      </c>
      <c r="E382" s="1">
        <v>6.2</v>
      </c>
      <c r="F382" s="1">
        <v>2.2000000000000002</v>
      </c>
      <c r="G382" s="1">
        <v>2.96</v>
      </c>
      <c r="H382" s="1">
        <v>1.6</v>
      </c>
      <c r="I382" s="1" t="s">
        <v>36</v>
      </c>
      <c r="J382" s="1">
        <v>8</v>
      </c>
      <c r="K382" s="1">
        <v>10</v>
      </c>
      <c r="L382" s="1">
        <v>9</v>
      </c>
      <c r="M382" s="8">
        <v>0</v>
      </c>
    </row>
    <row r="383" spans="1:13" hidden="1" x14ac:dyDescent="0.25">
      <c r="A383" s="7">
        <v>18</v>
      </c>
      <c r="B383" s="1" t="s">
        <v>37</v>
      </c>
      <c r="C383" s="1">
        <v>1.3</v>
      </c>
      <c r="D383" s="1" t="s">
        <v>41</v>
      </c>
      <c r="E383" s="1">
        <v>4.9000000000000004</v>
      </c>
      <c r="F383" s="1">
        <v>0.9</v>
      </c>
      <c r="G383" s="1">
        <v>3.86</v>
      </c>
      <c r="H383" s="1">
        <v>0</v>
      </c>
      <c r="I383" s="1" t="s">
        <v>40</v>
      </c>
      <c r="J383" s="1">
        <v>4</v>
      </c>
      <c r="K383" s="1">
        <v>9</v>
      </c>
      <c r="L383" s="1">
        <v>8</v>
      </c>
      <c r="M383" s="8">
        <v>0</v>
      </c>
    </row>
    <row r="384" spans="1:13" hidden="1" x14ac:dyDescent="0.25">
      <c r="A384" s="7">
        <v>15</v>
      </c>
      <c r="B384" s="1" t="s">
        <v>37</v>
      </c>
      <c r="C384" s="1">
        <v>4.2</v>
      </c>
      <c r="D384" s="1" t="s">
        <v>38</v>
      </c>
      <c r="E384" s="1">
        <v>6.8</v>
      </c>
      <c r="F384" s="1">
        <v>1.1000000000000001</v>
      </c>
      <c r="G384" s="1">
        <v>3.37</v>
      </c>
      <c r="H384" s="1">
        <v>0.7</v>
      </c>
      <c r="I384" s="1" t="s">
        <v>39</v>
      </c>
      <c r="J384" s="1">
        <v>3</v>
      </c>
      <c r="K384" s="1">
        <v>6</v>
      </c>
      <c r="L384" s="1">
        <v>8</v>
      </c>
      <c r="M384" s="8">
        <v>0</v>
      </c>
    </row>
    <row r="385" spans="1:13" hidden="1" x14ac:dyDescent="0.25">
      <c r="A385" s="7">
        <v>19</v>
      </c>
      <c r="B385" s="1" t="s">
        <v>34</v>
      </c>
      <c r="C385" s="1">
        <v>6.6</v>
      </c>
      <c r="D385" s="1" t="s">
        <v>41</v>
      </c>
      <c r="E385" s="1">
        <v>6</v>
      </c>
      <c r="F385" s="1">
        <v>2.1</v>
      </c>
      <c r="G385" s="1">
        <v>2.84</v>
      </c>
      <c r="H385" s="1">
        <v>1.5</v>
      </c>
      <c r="I385" s="1" t="s">
        <v>36</v>
      </c>
      <c r="J385" s="1">
        <v>9</v>
      </c>
      <c r="K385" s="1">
        <v>4</v>
      </c>
      <c r="L385" s="1">
        <v>5</v>
      </c>
      <c r="M385" s="8">
        <v>0</v>
      </c>
    </row>
    <row r="386" spans="1:13" hidden="1" x14ac:dyDescent="0.25">
      <c r="A386" s="7">
        <v>13</v>
      </c>
      <c r="B386" s="1" t="s">
        <v>34</v>
      </c>
      <c r="C386" s="1">
        <v>7.5</v>
      </c>
      <c r="D386" s="1" t="s">
        <v>38</v>
      </c>
      <c r="E386" s="1">
        <v>4.8</v>
      </c>
      <c r="F386" s="1">
        <v>0.7</v>
      </c>
      <c r="G386" s="1">
        <v>2.91</v>
      </c>
      <c r="H386" s="1">
        <v>2</v>
      </c>
      <c r="I386" s="1" t="s">
        <v>39</v>
      </c>
      <c r="J386" s="1">
        <v>10</v>
      </c>
      <c r="K386" s="1">
        <v>9</v>
      </c>
      <c r="L386" s="1">
        <v>1</v>
      </c>
      <c r="M386" s="8">
        <v>1</v>
      </c>
    </row>
    <row r="387" spans="1:13" hidden="1" x14ac:dyDescent="0.25">
      <c r="A387" s="7">
        <v>15</v>
      </c>
      <c r="B387" s="1" t="s">
        <v>34</v>
      </c>
      <c r="C387" s="1">
        <v>7</v>
      </c>
      <c r="D387" s="1" t="s">
        <v>41</v>
      </c>
      <c r="E387" s="1">
        <v>8.6999999999999993</v>
      </c>
      <c r="F387" s="1">
        <v>3</v>
      </c>
      <c r="G387" s="1">
        <v>2.84</v>
      </c>
      <c r="H387" s="1">
        <v>1.4</v>
      </c>
      <c r="I387" s="1" t="s">
        <v>40</v>
      </c>
      <c r="J387" s="1">
        <v>5</v>
      </c>
      <c r="K387" s="1">
        <v>3</v>
      </c>
      <c r="L387" s="1">
        <v>2</v>
      </c>
      <c r="M387" s="8">
        <v>0</v>
      </c>
    </row>
    <row r="388" spans="1:13" hidden="1" x14ac:dyDescent="0.25">
      <c r="A388" s="7">
        <v>15</v>
      </c>
      <c r="B388" s="1" t="s">
        <v>37</v>
      </c>
      <c r="C388" s="1">
        <v>6.7</v>
      </c>
      <c r="D388" s="1" t="s">
        <v>41</v>
      </c>
      <c r="E388" s="1">
        <v>5</v>
      </c>
      <c r="F388" s="1">
        <v>0.6</v>
      </c>
      <c r="G388" s="1">
        <v>2.75</v>
      </c>
      <c r="H388" s="1">
        <v>1.5</v>
      </c>
      <c r="I388" s="1" t="s">
        <v>40</v>
      </c>
      <c r="J388" s="1">
        <v>7</v>
      </c>
      <c r="K388" s="1">
        <v>4</v>
      </c>
      <c r="L388" s="1">
        <v>8</v>
      </c>
      <c r="M388" s="8">
        <v>0</v>
      </c>
    </row>
    <row r="389" spans="1:13" x14ac:dyDescent="0.25">
      <c r="A389" s="7">
        <v>15</v>
      </c>
      <c r="B389" s="1" t="s">
        <v>37</v>
      </c>
      <c r="C389" s="1">
        <v>2.2999999999999998</v>
      </c>
      <c r="D389" s="1" t="s">
        <v>35</v>
      </c>
      <c r="E389" s="1">
        <v>5.6</v>
      </c>
      <c r="F389" s="1">
        <v>2.9</v>
      </c>
      <c r="G389" s="1">
        <v>2.72</v>
      </c>
      <c r="H389" s="1">
        <v>1</v>
      </c>
      <c r="I389" s="1" t="s">
        <v>39</v>
      </c>
      <c r="J389" s="1">
        <v>6</v>
      </c>
      <c r="K389" s="1">
        <v>6</v>
      </c>
      <c r="L389" s="1">
        <v>2</v>
      </c>
      <c r="M389" s="8">
        <v>0</v>
      </c>
    </row>
    <row r="390" spans="1:13" hidden="1" x14ac:dyDescent="0.25">
      <c r="A390" s="7">
        <v>14</v>
      </c>
      <c r="B390" s="1" t="s">
        <v>34</v>
      </c>
      <c r="C390" s="1">
        <v>5.3</v>
      </c>
      <c r="D390" s="1" t="s">
        <v>41</v>
      </c>
      <c r="E390" s="1">
        <v>9</v>
      </c>
      <c r="F390" s="1">
        <v>2.8</v>
      </c>
      <c r="G390" s="1">
        <v>3.1</v>
      </c>
      <c r="H390" s="1">
        <v>1.6</v>
      </c>
      <c r="I390" s="1" t="s">
        <v>39</v>
      </c>
      <c r="J390" s="1">
        <v>10</v>
      </c>
      <c r="K390" s="1">
        <v>7</v>
      </c>
      <c r="L390" s="1">
        <v>6</v>
      </c>
      <c r="M390" s="8">
        <v>0</v>
      </c>
    </row>
    <row r="391" spans="1:13" hidden="1" x14ac:dyDescent="0.25">
      <c r="A391" s="7">
        <v>13</v>
      </c>
      <c r="B391" s="1" t="s">
        <v>37</v>
      </c>
      <c r="C391" s="1">
        <v>2.7</v>
      </c>
      <c r="D391" s="1" t="s">
        <v>38</v>
      </c>
      <c r="E391" s="1">
        <v>6.5</v>
      </c>
      <c r="F391" s="1">
        <v>1.5</v>
      </c>
      <c r="G391" s="1">
        <v>2.58</v>
      </c>
      <c r="H391" s="1">
        <v>0.4</v>
      </c>
      <c r="I391" s="1" t="s">
        <v>39</v>
      </c>
      <c r="J391" s="1">
        <v>1</v>
      </c>
      <c r="K391" s="1">
        <v>1</v>
      </c>
      <c r="L391" s="1">
        <v>6</v>
      </c>
      <c r="M391" s="8">
        <v>0</v>
      </c>
    </row>
    <row r="392" spans="1:13" hidden="1" x14ac:dyDescent="0.25">
      <c r="A392" s="7">
        <v>13</v>
      </c>
      <c r="B392" s="1" t="s">
        <v>34</v>
      </c>
      <c r="C392" s="1">
        <v>5.4</v>
      </c>
      <c r="D392" s="1" t="s">
        <v>35</v>
      </c>
      <c r="E392" s="1">
        <v>7.8</v>
      </c>
      <c r="F392" s="1">
        <v>1.8</v>
      </c>
      <c r="G392" s="1">
        <v>3.46</v>
      </c>
      <c r="H392" s="1">
        <v>1</v>
      </c>
      <c r="I392" s="1" t="s">
        <v>39</v>
      </c>
      <c r="J392" s="1">
        <v>4</v>
      </c>
      <c r="K392" s="1">
        <v>7</v>
      </c>
      <c r="L392" s="1">
        <v>7</v>
      </c>
      <c r="M392" s="8">
        <v>0</v>
      </c>
    </row>
    <row r="393" spans="1:13" hidden="1" x14ac:dyDescent="0.25">
      <c r="A393" s="7">
        <v>17</v>
      </c>
      <c r="B393" s="1" t="s">
        <v>34</v>
      </c>
      <c r="C393" s="1">
        <v>7.2</v>
      </c>
      <c r="D393" s="1" t="s">
        <v>35</v>
      </c>
      <c r="E393" s="1">
        <v>8</v>
      </c>
      <c r="F393" s="1">
        <v>1.9</v>
      </c>
      <c r="G393" s="1">
        <v>2.66</v>
      </c>
      <c r="H393" s="1">
        <v>1.4</v>
      </c>
      <c r="I393" s="1" t="s">
        <v>40</v>
      </c>
      <c r="J393" s="1">
        <v>5</v>
      </c>
      <c r="K393" s="1">
        <v>8</v>
      </c>
      <c r="L393" s="1">
        <v>6</v>
      </c>
      <c r="M393" s="8">
        <v>0</v>
      </c>
    </row>
    <row r="394" spans="1:13" hidden="1" x14ac:dyDescent="0.25">
      <c r="A394" s="7">
        <v>19</v>
      </c>
      <c r="B394" s="1" t="s">
        <v>34</v>
      </c>
      <c r="C394" s="1">
        <v>1.5</v>
      </c>
      <c r="D394" s="1" t="s">
        <v>38</v>
      </c>
      <c r="E394" s="1">
        <v>6.8</v>
      </c>
      <c r="F394" s="1">
        <v>2.5</v>
      </c>
      <c r="G394" s="1">
        <v>2.13</v>
      </c>
      <c r="H394" s="1">
        <v>0.2</v>
      </c>
      <c r="I394" s="1" t="s">
        <v>40</v>
      </c>
      <c r="J394" s="1">
        <v>9</v>
      </c>
      <c r="K394" s="1">
        <v>8</v>
      </c>
      <c r="L394" s="1">
        <v>10</v>
      </c>
      <c r="M394" s="8">
        <v>0</v>
      </c>
    </row>
    <row r="395" spans="1:13" hidden="1" x14ac:dyDescent="0.25">
      <c r="A395" s="7">
        <v>13</v>
      </c>
      <c r="B395" s="1" t="s">
        <v>34</v>
      </c>
      <c r="C395" s="1">
        <v>4</v>
      </c>
      <c r="D395" s="1" t="s">
        <v>41</v>
      </c>
      <c r="E395" s="1">
        <v>4.2</v>
      </c>
      <c r="F395" s="1">
        <v>0.5</v>
      </c>
      <c r="G395" s="1">
        <v>2.46</v>
      </c>
      <c r="H395" s="1">
        <v>0.6</v>
      </c>
      <c r="I395" s="1" t="s">
        <v>36</v>
      </c>
      <c r="J395" s="1">
        <v>2</v>
      </c>
      <c r="K395" s="1">
        <v>9</v>
      </c>
      <c r="L395" s="1">
        <v>9</v>
      </c>
      <c r="M395" s="8">
        <v>0</v>
      </c>
    </row>
    <row r="396" spans="1:13" hidden="1" x14ac:dyDescent="0.25">
      <c r="A396" s="7">
        <v>15</v>
      </c>
      <c r="B396" s="1" t="s">
        <v>37</v>
      </c>
      <c r="C396" s="1">
        <v>4.2</v>
      </c>
      <c r="D396" s="1" t="s">
        <v>41</v>
      </c>
      <c r="E396" s="1">
        <v>7.1</v>
      </c>
      <c r="F396" s="1">
        <v>2.1</v>
      </c>
      <c r="G396" s="1">
        <v>2.21</v>
      </c>
      <c r="H396" s="1">
        <v>1.8</v>
      </c>
      <c r="I396" s="1" t="s">
        <v>40</v>
      </c>
      <c r="J396" s="1">
        <v>4</v>
      </c>
      <c r="K396" s="1">
        <v>1</v>
      </c>
      <c r="L396" s="1">
        <v>3</v>
      </c>
      <c r="M396" s="8">
        <v>0</v>
      </c>
    </row>
    <row r="397" spans="1:13" hidden="1" x14ac:dyDescent="0.25">
      <c r="A397" s="7">
        <v>19</v>
      </c>
      <c r="B397" s="1" t="s">
        <v>34</v>
      </c>
      <c r="C397" s="1">
        <v>1.8</v>
      </c>
      <c r="D397" s="1" t="s">
        <v>38</v>
      </c>
      <c r="E397" s="1">
        <v>7.7</v>
      </c>
      <c r="F397" s="1">
        <v>2.2000000000000002</v>
      </c>
      <c r="G397" s="1">
        <v>3.77</v>
      </c>
      <c r="H397" s="1">
        <v>0.3</v>
      </c>
      <c r="I397" s="1" t="s">
        <v>40</v>
      </c>
      <c r="J397" s="1">
        <v>4</v>
      </c>
      <c r="K397" s="1">
        <v>6</v>
      </c>
      <c r="L397" s="1">
        <v>7</v>
      </c>
      <c r="M397" s="8">
        <v>0</v>
      </c>
    </row>
    <row r="398" spans="1:13" x14ac:dyDescent="0.25">
      <c r="A398" s="7">
        <v>17</v>
      </c>
      <c r="B398" s="1" t="s">
        <v>37</v>
      </c>
      <c r="C398" s="1">
        <v>3.3</v>
      </c>
      <c r="D398" s="1" t="s">
        <v>35</v>
      </c>
      <c r="E398" s="1">
        <v>8.6</v>
      </c>
      <c r="F398" s="1">
        <v>1.1000000000000001</v>
      </c>
      <c r="G398" s="1">
        <v>2.62</v>
      </c>
      <c r="H398" s="1">
        <v>0.4</v>
      </c>
      <c r="I398" s="1" t="s">
        <v>36</v>
      </c>
      <c r="J398" s="1">
        <v>4</v>
      </c>
      <c r="K398" s="1">
        <v>7</v>
      </c>
      <c r="L398" s="1">
        <v>9</v>
      </c>
      <c r="M398" s="8">
        <v>0</v>
      </c>
    </row>
    <row r="399" spans="1:13" hidden="1" x14ac:dyDescent="0.25">
      <c r="A399" s="7">
        <v>14</v>
      </c>
      <c r="B399" s="1" t="s">
        <v>37</v>
      </c>
      <c r="C399" s="1">
        <v>1</v>
      </c>
      <c r="D399" s="1" t="s">
        <v>41</v>
      </c>
      <c r="E399" s="1">
        <v>6.6</v>
      </c>
      <c r="F399" s="1">
        <v>1.4</v>
      </c>
      <c r="G399" s="1">
        <v>2.02</v>
      </c>
      <c r="H399" s="1">
        <v>1.9</v>
      </c>
      <c r="I399" s="1" t="s">
        <v>36</v>
      </c>
      <c r="J399" s="1">
        <v>6</v>
      </c>
      <c r="K399" s="1">
        <v>5</v>
      </c>
      <c r="L399" s="1">
        <v>5</v>
      </c>
      <c r="M399" s="8">
        <v>0</v>
      </c>
    </row>
    <row r="400" spans="1:13" hidden="1" x14ac:dyDescent="0.25">
      <c r="A400" s="7">
        <v>13</v>
      </c>
      <c r="B400" s="1" t="s">
        <v>37</v>
      </c>
      <c r="C400" s="1">
        <v>1.2</v>
      </c>
      <c r="D400" s="1" t="s">
        <v>38</v>
      </c>
      <c r="E400" s="1">
        <v>8</v>
      </c>
      <c r="F400" s="1">
        <v>2.8</v>
      </c>
      <c r="G400" s="1">
        <v>2.1800000000000002</v>
      </c>
      <c r="H400" s="1">
        <v>1.1000000000000001</v>
      </c>
      <c r="I400" s="1" t="s">
        <v>39</v>
      </c>
      <c r="J400" s="1">
        <v>5</v>
      </c>
      <c r="K400" s="1">
        <v>8</v>
      </c>
      <c r="L400" s="1">
        <v>5</v>
      </c>
      <c r="M400" s="8">
        <v>0</v>
      </c>
    </row>
    <row r="401" spans="1:13" hidden="1" x14ac:dyDescent="0.25">
      <c r="A401" s="7">
        <v>19</v>
      </c>
      <c r="B401" s="1" t="s">
        <v>34</v>
      </c>
      <c r="C401" s="1">
        <v>2</v>
      </c>
      <c r="D401" s="1" t="s">
        <v>35</v>
      </c>
      <c r="E401" s="1">
        <v>4.0999999999999996</v>
      </c>
      <c r="F401" s="1">
        <v>1.3</v>
      </c>
      <c r="G401" s="1">
        <v>3.71</v>
      </c>
      <c r="H401" s="1">
        <v>1.6</v>
      </c>
      <c r="I401" s="1" t="s">
        <v>36</v>
      </c>
      <c r="J401" s="1">
        <v>7</v>
      </c>
      <c r="K401" s="1">
        <v>7</v>
      </c>
      <c r="L401" s="1">
        <v>8</v>
      </c>
      <c r="M401" s="8">
        <v>0</v>
      </c>
    </row>
    <row r="402" spans="1:13" hidden="1" x14ac:dyDescent="0.25">
      <c r="A402" s="7">
        <v>13</v>
      </c>
      <c r="B402" s="1" t="s">
        <v>37</v>
      </c>
      <c r="C402" s="1">
        <v>7.1</v>
      </c>
      <c r="D402" s="1" t="s">
        <v>41</v>
      </c>
      <c r="E402" s="1">
        <v>6.5</v>
      </c>
      <c r="F402" s="1">
        <v>1.6</v>
      </c>
      <c r="G402" s="1">
        <v>2.0299999999999998</v>
      </c>
      <c r="H402" s="1">
        <v>0.3</v>
      </c>
      <c r="I402" s="1" t="s">
        <v>40</v>
      </c>
      <c r="J402" s="1">
        <v>1</v>
      </c>
      <c r="K402" s="1">
        <v>10</v>
      </c>
      <c r="L402" s="1">
        <v>6</v>
      </c>
      <c r="M402" s="8">
        <v>0</v>
      </c>
    </row>
    <row r="403" spans="1:13" hidden="1" x14ac:dyDescent="0.25">
      <c r="A403" s="7">
        <v>15</v>
      </c>
      <c r="B403" s="1" t="s">
        <v>37</v>
      </c>
      <c r="C403" s="1">
        <v>5.5</v>
      </c>
      <c r="D403" s="1" t="s">
        <v>38</v>
      </c>
      <c r="E403" s="1">
        <v>7.8</v>
      </c>
      <c r="F403" s="1">
        <v>1.5</v>
      </c>
      <c r="G403" s="1">
        <v>2.79</v>
      </c>
      <c r="H403" s="1">
        <v>0.7</v>
      </c>
      <c r="I403" s="1" t="s">
        <v>39</v>
      </c>
      <c r="J403" s="1">
        <v>9</v>
      </c>
      <c r="K403" s="1">
        <v>10</v>
      </c>
      <c r="L403" s="1">
        <v>7</v>
      </c>
      <c r="M403" s="8">
        <v>0</v>
      </c>
    </row>
    <row r="404" spans="1:13" hidden="1" x14ac:dyDescent="0.25">
      <c r="A404" s="7">
        <v>17</v>
      </c>
      <c r="B404" s="1" t="s">
        <v>34</v>
      </c>
      <c r="C404" s="1">
        <v>7.7</v>
      </c>
      <c r="D404" s="1" t="s">
        <v>38</v>
      </c>
      <c r="E404" s="1">
        <v>4.7</v>
      </c>
      <c r="F404" s="1">
        <v>2.8</v>
      </c>
      <c r="G404" s="1">
        <v>3.5</v>
      </c>
      <c r="H404" s="1">
        <v>1.5</v>
      </c>
      <c r="I404" s="1" t="s">
        <v>36</v>
      </c>
      <c r="J404" s="1">
        <v>8</v>
      </c>
      <c r="K404" s="1">
        <v>4</v>
      </c>
      <c r="L404" s="1">
        <v>8</v>
      </c>
      <c r="M404" s="8">
        <v>0</v>
      </c>
    </row>
    <row r="405" spans="1:13" x14ac:dyDescent="0.25">
      <c r="A405" s="7">
        <v>17</v>
      </c>
      <c r="B405" s="1" t="s">
        <v>37</v>
      </c>
      <c r="C405" s="1">
        <v>7.6</v>
      </c>
      <c r="D405" s="1" t="s">
        <v>35</v>
      </c>
      <c r="E405" s="1">
        <v>5.9</v>
      </c>
      <c r="F405" s="1">
        <v>2</v>
      </c>
      <c r="G405" s="1">
        <v>2.52</v>
      </c>
      <c r="H405" s="1">
        <v>1.5</v>
      </c>
      <c r="I405" s="1" t="s">
        <v>40</v>
      </c>
      <c r="J405" s="1">
        <v>1</v>
      </c>
      <c r="K405" s="1">
        <v>5</v>
      </c>
      <c r="L405" s="1">
        <v>1</v>
      </c>
      <c r="M405" s="8">
        <v>0</v>
      </c>
    </row>
    <row r="406" spans="1:13" hidden="1" x14ac:dyDescent="0.25">
      <c r="A406" s="7">
        <v>13</v>
      </c>
      <c r="B406" s="1" t="s">
        <v>34</v>
      </c>
      <c r="C406" s="1">
        <v>8</v>
      </c>
      <c r="D406" s="1" t="s">
        <v>35</v>
      </c>
      <c r="E406" s="1">
        <v>6.9</v>
      </c>
      <c r="F406" s="1">
        <v>2.5</v>
      </c>
      <c r="G406" s="1">
        <v>2.4500000000000002</v>
      </c>
      <c r="H406" s="1">
        <v>1.7</v>
      </c>
      <c r="I406" s="1" t="s">
        <v>40</v>
      </c>
      <c r="J406" s="1">
        <v>10</v>
      </c>
      <c r="K406" s="1">
        <v>1</v>
      </c>
      <c r="L406" s="1">
        <v>3</v>
      </c>
      <c r="M406" s="8">
        <v>0</v>
      </c>
    </row>
    <row r="407" spans="1:13" x14ac:dyDescent="0.25">
      <c r="A407" s="7">
        <v>16</v>
      </c>
      <c r="B407" s="1" t="s">
        <v>37</v>
      </c>
      <c r="C407" s="1">
        <v>4.3</v>
      </c>
      <c r="D407" s="1" t="s">
        <v>35</v>
      </c>
      <c r="E407" s="1">
        <v>6</v>
      </c>
      <c r="F407" s="1">
        <v>1.4</v>
      </c>
      <c r="G407" s="1">
        <v>2.98</v>
      </c>
      <c r="H407" s="1">
        <v>1.7</v>
      </c>
      <c r="I407" s="1" t="s">
        <v>36</v>
      </c>
      <c r="J407" s="1">
        <v>8</v>
      </c>
      <c r="K407" s="1">
        <v>7</v>
      </c>
      <c r="L407" s="1">
        <v>4</v>
      </c>
      <c r="M407" s="8">
        <v>0</v>
      </c>
    </row>
    <row r="408" spans="1:13" hidden="1" x14ac:dyDescent="0.25">
      <c r="A408" s="7">
        <v>13</v>
      </c>
      <c r="B408" s="1" t="s">
        <v>34</v>
      </c>
      <c r="C408" s="1">
        <v>3.8</v>
      </c>
      <c r="D408" s="1" t="s">
        <v>41</v>
      </c>
      <c r="E408" s="1">
        <v>5.3</v>
      </c>
      <c r="F408" s="1">
        <v>2.5</v>
      </c>
      <c r="G408" s="1">
        <v>3.48</v>
      </c>
      <c r="H408" s="1">
        <v>1</v>
      </c>
      <c r="I408" s="1" t="s">
        <v>36</v>
      </c>
      <c r="J408" s="1">
        <v>6</v>
      </c>
      <c r="K408" s="1">
        <v>7</v>
      </c>
      <c r="L408" s="1">
        <v>7</v>
      </c>
      <c r="M408" s="8">
        <v>0</v>
      </c>
    </row>
    <row r="409" spans="1:13" hidden="1" x14ac:dyDescent="0.25">
      <c r="A409" s="7">
        <v>16</v>
      </c>
      <c r="B409" s="1" t="s">
        <v>37</v>
      </c>
      <c r="C409" s="1">
        <v>2.9</v>
      </c>
      <c r="D409" s="1" t="s">
        <v>38</v>
      </c>
      <c r="E409" s="1">
        <v>6.3</v>
      </c>
      <c r="F409" s="1">
        <v>3</v>
      </c>
      <c r="G409" s="1">
        <v>2.6</v>
      </c>
      <c r="H409" s="1">
        <v>0.4</v>
      </c>
      <c r="I409" s="1" t="s">
        <v>40</v>
      </c>
      <c r="J409" s="1">
        <v>9</v>
      </c>
      <c r="K409" s="1">
        <v>7</v>
      </c>
      <c r="L409" s="1">
        <v>3</v>
      </c>
      <c r="M409" s="8">
        <v>0</v>
      </c>
    </row>
    <row r="410" spans="1:13" hidden="1" x14ac:dyDescent="0.25">
      <c r="A410" s="7">
        <v>13</v>
      </c>
      <c r="B410" s="1" t="s">
        <v>37</v>
      </c>
      <c r="C410" s="1">
        <v>5.3</v>
      </c>
      <c r="D410" s="1" t="s">
        <v>38</v>
      </c>
      <c r="E410" s="1">
        <v>6.5</v>
      </c>
      <c r="F410" s="1">
        <v>1.1000000000000001</v>
      </c>
      <c r="G410" s="1">
        <v>3.48</v>
      </c>
      <c r="H410" s="1">
        <v>1.8</v>
      </c>
      <c r="I410" s="1" t="s">
        <v>36</v>
      </c>
      <c r="J410" s="1">
        <v>9</v>
      </c>
      <c r="K410" s="1">
        <v>5</v>
      </c>
      <c r="L410" s="1">
        <v>4</v>
      </c>
      <c r="M410" s="8">
        <v>0</v>
      </c>
    </row>
    <row r="411" spans="1:13" x14ac:dyDescent="0.25">
      <c r="A411" s="7">
        <v>15</v>
      </c>
      <c r="B411" s="1" t="s">
        <v>37</v>
      </c>
      <c r="C411" s="1">
        <v>5.7</v>
      </c>
      <c r="D411" s="1" t="s">
        <v>35</v>
      </c>
      <c r="E411" s="1">
        <v>7.5</v>
      </c>
      <c r="F411" s="1">
        <v>2.4</v>
      </c>
      <c r="G411" s="1">
        <v>2.84</v>
      </c>
      <c r="H411" s="1">
        <v>1.3</v>
      </c>
      <c r="I411" s="1" t="s">
        <v>40</v>
      </c>
      <c r="J411" s="1">
        <v>10</v>
      </c>
      <c r="K411" s="1">
        <v>10</v>
      </c>
      <c r="L411" s="1">
        <v>2</v>
      </c>
      <c r="M411" s="8">
        <v>0</v>
      </c>
    </row>
    <row r="412" spans="1:13" x14ac:dyDescent="0.25">
      <c r="A412" s="7">
        <v>18</v>
      </c>
      <c r="B412" s="1" t="s">
        <v>37</v>
      </c>
      <c r="C412" s="1">
        <v>2.8</v>
      </c>
      <c r="D412" s="1" t="s">
        <v>35</v>
      </c>
      <c r="E412" s="1">
        <v>7.4</v>
      </c>
      <c r="F412" s="1">
        <v>1</v>
      </c>
      <c r="G412" s="1">
        <v>3.73</v>
      </c>
      <c r="H412" s="1">
        <v>1.9</v>
      </c>
      <c r="I412" s="1" t="s">
        <v>36</v>
      </c>
      <c r="J412" s="1">
        <v>7</v>
      </c>
      <c r="K412" s="1">
        <v>3</v>
      </c>
      <c r="L412" s="1">
        <v>6</v>
      </c>
      <c r="M412" s="8">
        <v>0</v>
      </c>
    </row>
    <row r="413" spans="1:13" hidden="1" x14ac:dyDescent="0.25">
      <c r="A413" s="7">
        <v>15</v>
      </c>
      <c r="B413" s="1" t="s">
        <v>34</v>
      </c>
      <c r="C413" s="1">
        <v>2.8</v>
      </c>
      <c r="D413" s="1" t="s">
        <v>38</v>
      </c>
      <c r="E413" s="1">
        <v>6.1</v>
      </c>
      <c r="F413" s="1">
        <v>2.9</v>
      </c>
      <c r="G413" s="1">
        <v>2.98</v>
      </c>
      <c r="H413" s="1">
        <v>1.8</v>
      </c>
      <c r="I413" s="1" t="s">
        <v>40</v>
      </c>
      <c r="J413" s="1">
        <v>6</v>
      </c>
      <c r="K413" s="1">
        <v>3</v>
      </c>
      <c r="L413" s="1">
        <v>7</v>
      </c>
      <c r="M413" s="8">
        <v>0</v>
      </c>
    </row>
    <row r="414" spans="1:13" x14ac:dyDescent="0.25">
      <c r="A414" s="7">
        <v>13</v>
      </c>
      <c r="B414" s="1" t="s">
        <v>37</v>
      </c>
      <c r="C414" s="1">
        <v>1.1000000000000001</v>
      </c>
      <c r="D414" s="1" t="s">
        <v>35</v>
      </c>
      <c r="E414" s="1">
        <v>7</v>
      </c>
      <c r="F414" s="1">
        <v>1.9</v>
      </c>
      <c r="G414" s="1">
        <v>4</v>
      </c>
      <c r="H414" s="1">
        <v>0.9</v>
      </c>
      <c r="I414" s="1" t="s">
        <v>40</v>
      </c>
      <c r="J414" s="1">
        <v>2</v>
      </c>
      <c r="K414" s="1">
        <v>9</v>
      </c>
      <c r="L414" s="1">
        <v>6</v>
      </c>
      <c r="M414" s="8">
        <v>0</v>
      </c>
    </row>
    <row r="415" spans="1:13" hidden="1" x14ac:dyDescent="0.25">
      <c r="A415" s="7">
        <v>14</v>
      </c>
      <c r="B415" s="1" t="s">
        <v>37</v>
      </c>
      <c r="C415" s="1">
        <v>2</v>
      </c>
      <c r="D415" s="1" t="s">
        <v>41</v>
      </c>
      <c r="E415" s="1">
        <v>5</v>
      </c>
      <c r="F415" s="1">
        <v>2.6</v>
      </c>
      <c r="G415" s="1">
        <v>2.71</v>
      </c>
      <c r="H415" s="1">
        <v>2</v>
      </c>
      <c r="I415" s="1" t="s">
        <v>36</v>
      </c>
      <c r="J415" s="1">
        <v>5</v>
      </c>
      <c r="K415" s="1">
        <v>4</v>
      </c>
      <c r="L415" s="1">
        <v>3</v>
      </c>
      <c r="M415" s="8">
        <v>0</v>
      </c>
    </row>
    <row r="416" spans="1:13" hidden="1" x14ac:dyDescent="0.25">
      <c r="A416" s="7">
        <v>16</v>
      </c>
      <c r="B416" s="1" t="s">
        <v>37</v>
      </c>
      <c r="C416" s="1">
        <v>6.5</v>
      </c>
      <c r="D416" s="1" t="s">
        <v>38</v>
      </c>
      <c r="E416" s="1">
        <v>5.3</v>
      </c>
      <c r="F416" s="1">
        <v>1.8</v>
      </c>
      <c r="G416" s="1">
        <v>2.29</v>
      </c>
      <c r="H416" s="1">
        <v>0.2</v>
      </c>
      <c r="I416" s="1" t="s">
        <v>39</v>
      </c>
      <c r="J416" s="1">
        <v>4</v>
      </c>
      <c r="K416" s="1">
        <v>10</v>
      </c>
      <c r="L416" s="1">
        <v>2</v>
      </c>
      <c r="M416" s="8">
        <v>0</v>
      </c>
    </row>
    <row r="417" spans="1:13" hidden="1" x14ac:dyDescent="0.25">
      <c r="A417" s="7">
        <v>16</v>
      </c>
      <c r="B417" s="1" t="s">
        <v>37</v>
      </c>
      <c r="C417" s="1">
        <v>7.5</v>
      </c>
      <c r="D417" s="1" t="s">
        <v>38</v>
      </c>
      <c r="E417" s="1">
        <v>7.8</v>
      </c>
      <c r="F417" s="1">
        <v>1.3</v>
      </c>
      <c r="G417" s="1">
        <v>2.73</v>
      </c>
      <c r="H417" s="1">
        <v>1.5</v>
      </c>
      <c r="I417" s="1" t="s">
        <v>40</v>
      </c>
      <c r="J417" s="1">
        <v>4</v>
      </c>
      <c r="K417" s="1">
        <v>5</v>
      </c>
      <c r="L417" s="1">
        <v>8</v>
      </c>
      <c r="M417" s="8">
        <v>0</v>
      </c>
    </row>
    <row r="418" spans="1:13" x14ac:dyDescent="0.25">
      <c r="A418" s="7">
        <v>16</v>
      </c>
      <c r="B418" s="1" t="s">
        <v>37</v>
      </c>
      <c r="C418" s="1">
        <v>3.1</v>
      </c>
      <c r="D418" s="1" t="s">
        <v>35</v>
      </c>
      <c r="E418" s="1">
        <v>7.9</v>
      </c>
      <c r="F418" s="1">
        <v>1.2</v>
      </c>
      <c r="G418" s="1">
        <v>2.85</v>
      </c>
      <c r="H418" s="1">
        <v>0.7</v>
      </c>
      <c r="I418" s="1" t="s">
        <v>39</v>
      </c>
      <c r="J418" s="1">
        <v>2</v>
      </c>
      <c r="K418" s="1">
        <v>2</v>
      </c>
      <c r="L418" s="1">
        <v>5</v>
      </c>
      <c r="M418" s="8">
        <v>0</v>
      </c>
    </row>
    <row r="419" spans="1:13" hidden="1" x14ac:dyDescent="0.25">
      <c r="A419" s="7">
        <v>19</v>
      </c>
      <c r="B419" s="1" t="s">
        <v>34</v>
      </c>
      <c r="C419" s="1">
        <v>5.9</v>
      </c>
      <c r="D419" s="1" t="s">
        <v>41</v>
      </c>
      <c r="E419" s="1">
        <v>7</v>
      </c>
      <c r="F419" s="1">
        <v>2.2999999999999998</v>
      </c>
      <c r="G419" s="1">
        <v>3</v>
      </c>
      <c r="H419" s="1">
        <v>1.6</v>
      </c>
      <c r="I419" s="1" t="s">
        <v>36</v>
      </c>
      <c r="J419" s="1">
        <v>3</v>
      </c>
      <c r="K419" s="1">
        <v>5</v>
      </c>
      <c r="L419" s="1">
        <v>10</v>
      </c>
      <c r="M419" s="8">
        <v>0</v>
      </c>
    </row>
    <row r="420" spans="1:13" hidden="1" x14ac:dyDescent="0.25">
      <c r="A420" s="7">
        <v>15</v>
      </c>
      <c r="B420" s="1" t="s">
        <v>34</v>
      </c>
      <c r="C420" s="1">
        <v>7.9</v>
      </c>
      <c r="D420" s="1" t="s">
        <v>38</v>
      </c>
      <c r="E420" s="1">
        <v>4.0999999999999996</v>
      </c>
      <c r="F420" s="1">
        <v>0.7</v>
      </c>
      <c r="G420" s="1">
        <v>2.33</v>
      </c>
      <c r="H420" s="1">
        <v>1.2</v>
      </c>
      <c r="I420" s="1" t="s">
        <v>40</v>
      </c>
      <c r="J420" s="1">
        <v>3</v>
      </c>
      <c r="K420" s="1">
        <v>8</v>
      </c>
      <c r="L420" s="1">
        <v>1</v>
      </c>
      <c r="M420" s="8">
        <v>0</v>
      </c>
    </row>
    <row r="421" spans="1:13" hidden="1" x14ac:dyDescent="0.25">
      <c r="A421" s="7">
        <v>15</v>
      </c>
      <c r="B421" s="1" t="s">
        <v>34</v>
      </c>
      <c r="C421" s="1">
        <v>5.0999999999999996</v>
      </c>
      <c r="D421" s="1" t="s">
        <v>35</v>
      </c>
      <c r="E421" s="1">
        <v>7.4</v>
      </c>
      <c r="F421" s="1">
        <v>0.7</v>
      </c>
      <c r="G421" s="1">
        <v>2.64</v>
      </c>
      <c r="H421" s="1">
        <v>0.2</v>
      </c>
      <c r="I421" s="1" t="s">
        <v>40</v>
      </c>
      <c r="J421" s="1">
        <v>5</v>
      </c>
      <c r="K421" s="1">
        <v>8</v>
      </c>
      <c r="L421" s="1">
        <v>1</v>
      </c>
      <c r="M421" s="8">
        <v>0</v>
      </c>
    </row>
    <row r="422" spans="1:13" hidden="1" x14ac:dyDescent="0.25">
      <c r="A422" s="7">
        <v>16</v>
      </c>
      <c r="B422" s="1" t="s">
        <v>34</v>
      </c>
      <c r="C422" s="1">
        <v>1.9</v>
      </c>
      <c r="D422" s="1" t="s">
        <v>41</v>
      </c>
      <c r="E422" s="1">
        <v>5.8</v>
      </c>
      <c r="F422" s="1">
        <v>2.1</v>
      </c>
      <c r="G422" s="1">
        <v>2.27</v>
      </c>
      <c r="H422" s="1">
        <v>0.6</v>
      </c>
      <c r="I422" s="1" t="s">
        <v>40</v>
      </c>
      <c r="J422" s="1">
        <v>3</v>
      </c>
      <c r="K422" s="1">
        <v>3</v>
      </c>
      <c r="L422" s="1">
        <v>2</v>
      </c>
      <c r="M422" s="8">
        <v>0</v>
      </c>
    </row>
    <row r="423" spans="1:13" hidden="1" x14ac:dyDescent="0.25">
      <c r="A423" s="7">
        <v>17</v>
      </c>
      <c r="B423" s="1" t="s">
        <v>34</v>
      </c>
      <c r="C423" s="1">
        <v>8</v>
      </c>
      <c r="D423" s="1" t="s">
        <v>35</v>
      </c>
      <c r="E423" s="1">
        <v>8.6999999999999993</v>
      </c>
      <c r="F423" s="1">
        <v>1.5</v>
      </c>
      <c r="G423" s="1">
        <v>3.7</v>
      </c>
      <c r="H423" s="1">
        <v>2</v>
      </c>
      <c r="I423" s="1" t="s">
        <v>39</v>
      </c>
      <c r="J423" s="1">
        <v>10</v>
      </c>
      <c r="K423" s="1">
        <v>9</v>
      </c>
      <c r="L423" s="1">
        <v>5</v>
      </c>
      <c r="M423" s="8">
        <v>0</v>
      </c>
    </row>
    <row r="424" spans="1:13" hidden="1" x14ac:dyDescent="0.25">
      <c r="A424" s="7">
        <v>19</v>
      </c>
      <c r="B424" s="1" t="s">
        <v>34</v>
      </c>
      <c r="C424" s="1">
        <v>2.9</v>
      </c>
      <c r="D424" s="1" t="s">
        <v>41</v>
      </c>
      <c r="E424" s="1">
        <v>4</v>
      </c>
      <c r="F424" s="1">
        <v>0.5</v>
      </c>
      <c r="G424" s="1">
        <v>3.16</v>
      </c>
      <c r="H424" s="1">
        <v>0.2</v>
      </c>
      <c r="I424" s="1" t="s">
        <v>39</v>
      </c>
      <c r="J424" s="1">
        <v>7</v>
      </c>
      <c r="K424" s="1">
        <v>6</v>
      </c>
      <c r="L424" s="1">
        <v>3</v>
      </c>
      <c r="M424" s="8">
        <v>0</v>
      </c>
    </row>
    <row r="425" spans="1:13" hidden="1" x14ac:dyDescent="0.25">
      <c r="A425" s="7">
        <v>14</v>
      </c>
      <c r="B425" s="1" t="s">
        <v>34</v>
      </c>
      <c r="C425" s="1">
        <v>4.3</v>
      </c>
      <c r="D425" s="1" t="s">
        <v>35</v>
      </c>
      <c r="E425" s="1">
        <v>8.4</v>
      </c>
      <c r="F425" s="1">
        <v>0.9</v>
      </c>
      <c r="G425" s="1">
        <v>3.2</v>
      </c>
      <c r="H425" s="1">
        <v>1.6</v>
      </c>
      <c r="I425" s="1" t="s">
        <v>39</v>
      </c>
      <c r="J425" s="1">
        <v>10</v>
      </c>
      <c r="K425" s="1">
        <v>10</v>
      </c>
      <c r="L425" s="1">
        <v>1</v>
      </c>
      <c r="M425" s="8">
        <v>0</v>
      </c>
    </row>
    <row r="426" spans="1:13" hidden="1" x14ac:dyDescent="0.25">
      <c r="A426" s="7">
        <v>16</v>
      </c>
      <c r="B426" s="1" t="s">
        <v>34</v>
      </c>
      <c r="C426" s="1">
        <v>1.1000000000000001</v>
      </c>
      <c r="D426" s="1" t="s">
        <v>35</v>
      </c>
      <c r="E426" s="1">
        <v>6.4</v>
      </c>
      <c r="F426" s="1">
        <v>3</v>
      </c>
      <c r="G426" s="1">
        <v>2.5099999999999998</v>
      </c>
      <c r="H426" s="1">
        <v>0.1</v>
      </c>
      <c r="I426" s="1" t="s">
        <v>40</v>
      </c>
      <c r="J426" s="1">
        <v>8</v>
      </c>
      <c r="K426" s="1">
        <v>6</v>
      </c>
      <c r="L426" s="1">
        <v>9</v>
      </c>
      <c r="M426" s="8">
        <v>0</v>
      </c>
    </row>
    <row r="427" spans="1:13" hidden="1" x14ac:dyDescent="0.25">
      <c r="A427" s="7">
        <v>16</v>
      </c>
      <c r="B427" s="1" t="s">
        <v>34</v>
      </c>
      <c r="C427" s="1">
        <v>4.9000000000000004</v>
      </c>
      <c r="D427" s="1" t="s">
        <v>35</v>
      </c>
      <c r="E427" s="1">
        <v>5.7</v>
      </c>
      <c r="F427" s="1">
        <v>1.2</v>
      </c>
      <c r="G427" s="1">
        <v>2.0699999999999998</v>
      </c>
      <c r="H427" s="1">
        <v>0.1</v>
      </c>
      <c r="I427" s="1" t="s">
        <v>40</v>
      </c>
      <c r="J427" s="1">
        <v>8</v>
      </c>
      <c r="K427" s="1">
        <v>2</v>
      </c>
      <c r="L427" s="1">
        <v>1</v>
      </c>
      <c r="M427" s="8">
        <v>0</v>
      </c>
    </row>
    <row r="428" spans="1:13" hidden="1" x14ac:dyDescent="0.25">
      <c r="A428" s="7">
        <v>14</v>
      </c>
      <c r="B428" s="1" t="s">
        <v>34</v>
      </c>
      <c r="C428" s="1">
        <v>6.1</v>
      </c>
      <c r="D428" s="1" t="s">
        <v>41</v>
      </c>
      <c r="E428" s="1">
        <v>7.6</v>
      </c>
      <c r="F428" s="1">
        <v>1.4</v>
      </c>
      <c r="G428" s="1">
        <v>2.72</v>
      </c>
      <c r="H428" s="1">
        <v>0.9</v>
      </c>
      <c r="I428" s="1" t="s">
        <v>36</v>
      </c>
      <c r="J428" s="1">
        <v>9</v>
      </c>
      <c r="K428" s="1">
        <v>3</v>
      </c>
      <c r="L428" s="1">
        <v>3</v>
      </c>
      <c r="M428" s="8">
        <v>0</v>
      </c>
    </row>
    <row r="429" spans="1:13" hidden="1" x14ac:dyDescent="0.25">
      <c r="A429" s="7">
        <v>15</v>
      </c>
      <c r="B429" s="1" t="s">
        <v>37</v>
      </c>
      <c r="C429" s="1">
        <v>2.7</v>
      </c>
      <c r="D429" s="1" t="s">
        <v>41</v>
      </c>
      <c r="E429" s="1">
        <v>6.5</v>
      </c>
      <c r="F429" s="1">
        <v>1.6</v>
      </c>
      <c r="G429" s="1">
        <v>2.14</v>
      </c>
      <c r="H429" s="1">
        <v>0.4</v>
      </c>
      <c r="I429" s="1" t="s">
        <v>39</v>
      </c>
      <c r="J429" s="1">
        <v>6</v>
      </c>
      <c r="K429" s="1">
        <v>6</v>
      </c>
      <c r="L429" s="1">
        <v>6</v>
      </c>
      <c r="M429" s="8">
        <v>0</v>
      </c>
    </row>
    <row r="430" spans="1:13" hidden="1" x14ac:dyDescent="0.25">
      <c r="A430" s="7">
        <v>16</v>
      </c>
      <c r="B430" s="1" t="s">
        <v>37</v>
      </c>
      <c r="C430" s="1">
        <v>7.8</v>
      </c>
      <c r="D430" s="1" t="s">
        <v>41</v>
      </c>
      <c r="E430" s="1">
        <v>7.4</v>
      </c>
      <c r="F430" s="1">
        <v>0.7</v>
      </c>
      <c r="G430" s="1">
        <v>2.54</v>
      </c>
      <c r="H430" s="1">
        <v>1.2</v>
      </c>
      <c r="I430" s="1" t="s">
        <v>40</v>
      </c>
      <c r="J430" s="1">
        <v>10</v>
      </c>
      <c r="K430" s="1">
        <v>4</v>
      </c>
      <c r="L430" s="1">
        <v>9</v>
      </c>
      <c r="M430" s="8">
        <v>0</v>
      </c>
    </row>
    <row r="431" spans="1:13" hidden="1" x14ac:dyDescent="0.25">
      <c r="A431" s="7">
        <v>18</v>
      </c>
      <c r="B431" s="1" t="s">
        <v>34</v>
      </c>
      <c r="C431" s="1">
        <v>4.2</v>
      </c>
      <c r="D431" s="1" t="s">
        <v>38</v>
      </c>
      <c r="E431" s="1">
        <v>6.5</v>
      </c>
      <c r="F431" s="1">
        <v>1.4</v>
      </c>
      <c r="G431" s="1">
        <v>2.91</v>
      </c>
      <c r="H431" s="1">
        <v>1.5</v>
      </c>
      <c r="I431" s="1" t="s">
        <v>36</v>
      </c>
      <c r="J431" s="1">
        <v>5</v>
      </c>
      <c r="K431" s="1">
        <v>6</v>
      </c>
      <c r="L431" s="1">
        <v>4</v>
      </c>
      <c r="M431" s="8">
        <v>0</v>
      </c>
    </row>
    <row r="432" spans="1:13" x14ac:dyDescent="0.25">
      <c r="A432" s="7">
        <v>13</v>
      </c>
      <c r="B432" s="1" t="s">
        <v>37</v>
      </c>
      <c r="C432" s="1">
        <v>4.4000000000000004</v>
      </c>
      <c r="D432" s="1" t="s">
        <v>35</v>
      </c>
      <c r="E432" s="1">
        <v>5.5</v>
      </c>
      <c r="F432" s="1">
        <v>2.7</v>
      </c>
      <c r="G432" s="1">
        <v>3.17</v>
      </c>
      <c r="H432" s="1">
        <v>0.3</v>
      </c>
      <c r="I432" s="1" t="s">
        <v>36</v>
      </c>
      <c r="J432" s="1">
        <v>5</v>
      </c>
      <c r="K432" s="1">
        <v>1</v>
      </c>
      <c r="L432" s="1">
        <v>5</v>
      </c>
      <c r="M432" s="8">
        <v>0</v>
      </c>
    </row>
    <row r="433" spans="1:13" hidden="1" x14ac:dyDescent="0.25">
      <c r="A433" s="7">
        <v>13</v>
      </c>
      <c r="B433" s="1" t="s">
        <v>37</v>
      </c>
      <c r="C433" s="1">
        <v>1.4</v>
      </c>
      <c r="D433" s="1" t="s">
        <v>41</v>
      </c>
      <c r="E433" s="1">
        <v>7.8</v>
      </c>
      <c r="F433" s="1">
        <v>0.6</v>
      </c>
      <c r="G433" s="1">
        <v>3.42</v>
      </c>
      <c r="H433" s="1">
        <v>1.6</v>
      </c>
      <c r="I433" s="1" t="s">
        <v>40</v>
      </c>
      <c r="J433" s="1">
        <v>10</v>
      </c>
      <c r="K433" s="1">
        <v>4</v>
      </c>
      <c r="L433" s="1">
        <v>6</v>
      </c>
      <c r="M433" s="8">
        <v>0</v>
      </c>
    </row>
    <row r="434" spans="1:13" hidden="1" x14ac:dyDescent="0.25">
      <c r="A434" s="7">
        <v>17</v>
      </c>
      <c r="B434" s="1" t="s">
        <v>34</v>
      </c>
      <c r="C434" s="1">
        <v>3.7</v>
      </c>
      <c r="D434" s="1" t="s">
        <v>38</v>
      </c>
      <c r="E434" s="1">
        <v>7.2</v>
      </c>
      <c r="F434" s="1">
        <v>0.6</v>
      </c>
      <c r="G434" s="1">
        <v>3.34</v>
      </c>
      <c r="H434" s="1">
        <v>1.8</v>
      </c>
      <c r="I434" s="1" t="s">
        <v>39</v>
      </c>
      <c r="J434" s="1">
        <v>2</v>
      </c>
      <c r="K434" s="1">
        <v>6</v>
      </c>
      <c r="L434" s="1">
        <v>2</v>
      </c>
      <c r="M434" s="8">
        <v>0</v>
      </c>
    </row>
    <row r="435" spans="1:13" hidden="1" x14ac:dyDescent="0.25">
      <c r="A435" s="7">
        <v>14</v>
      </c>
      <c r="B435" s="1" t="s">
        <v>34</v>
      </c>
      <c r="C435" s="1">
        <v>3.8</v>
      </c>
      <c r="D435" s="1" t="s">
        <v>35</v>
      </c>
      <c r="E435" s="1">
        <v>8.9</v>
      </c>
      <c r="F435" s="1">
        <v>1.9</v>
      </c>
      <c r="G435" s="1">
        <v>2.77</v>
      </c>
      <c r="H435" s="1">
        <v>0.2</v>
      </c>
      <c r="I435" s="1" t="s">
        <v>40</v>
      </c>
      <c r="J435" s="1">
        <v>6</v>
      </c>
      <c r="K435" s="1">
        <v>2</v>
      </c>
      <c r="L435" s="1">
        <v>2</v>
      </c>
      <c r="M435" s="8">
        <v>0</v>
      </c>
    </row>
    <row r="436" spans="1:13" hidden="1" x14ac:dyDescent="0.25">
      <c r="A436" s="7">
        <v>15</v>
      </c>
      <c r="B436" s="1" t="s">
        <v>37</v>
      </c>
      <c r="C436" s="1">
        <v>5.4</v>
      </c>
      <c r="D436" s="1" t="s">
        <v>38</v>
      </c>
      <c r="E436" s="1">
        <v>7</v>
      </c>
      <c r="F436" s="1">
        <v>1.8</v>
      </c>
      <c r="G436" s="1">
        <v>2.54</v>
      </c>
      <c r="H436" s="1">
        <v>0.1</v>
      </c>
      <c r="I436" s="1" t="s">
        <v>36</v>
      </c>
      <c r="J436" s="1">
        <v>1</v>
      </c>
      <c r="K436" s="1">
        <v>4</v>
      </c>
      <c r="L436" s="1">
        <v>4</v>
      </c>
      <c r="M436" s="8">
        <v>0</v>
      </c>
    </row>
    <row r="437" spans="1:13" hidden="1" x14ac:dyDescent="0.25">
      <c r="A437" s="7">
        <v>17</v>
      </c>
      <c r="B437" s="1" t="s">
        <v>34</v>
      </c>
      <c r="C437" s="1">
        <v>4</v>
      </c>
      <c r="D437" s="1" t="s">
        <v>41</v>
      </c>
      <c r="E437" s="1">
        <v>4.3</v>
      </c>
      <c r="F437" s="1">
        <v>1.8</v>
      </c>
      <c r="G437" s="1">
        <v>2.17</v>
      </c>
      <c r="H437" s="1">
        <v>0.9</v>
      </c>
      <c r="I437" s="1" t="s">
        <v>39</v>
      </c>
      <c r="J437" s="1">
        <v>8</v>
      </c>
      <c r="K437" s="1">
        <v>8</v>
      </c>
      <c r="L437" s="1">
        <v>3</v>
      </c>
      <c r="M437" s="8">
        <v>0</v>
      </c>
    </row>
    <row r="438" spans="1:13" hidden="1" x14ac:dyDescent="0.25">
      <c r="A438" s="7">
        <v>19</v>
      </c>
      <c r="B438" s="1" t="s">
        <v>34</v>
      </c>
      <c r="C438" s="1">
        <v>3.5</v>
      </c>
      <c r="D438" s="1" t="s">
        <v>38</v>
      </c>
      <c r="E438" s="1">
        <v>5.8</v>
      </c>
      <c r="F438" s="1">
        <v>1.8</v>
      </c>
      <c r="G438" s="1">
        <v>3.3</v>
      </c>
      <c r="H438" s="1">
        <v>0.9</v>
      </c>
      <c r="I438" s="1" t="s">
        <v>36</v>
      </c>
      <c r="J438" s="1">
        <v>7</v>
      </c>
      <c r="K438" s="1">
        <v>6</v>
      </c>
      <c r="L438" s="1">
        <v>9</v>
      </c>
      <c r="M438" s="8">
        <v>0</v>
      </c>
    </row>
    <row r="439" spans="1:13" hidden="1" x14ac:dyDescent="0.25">
      <c r="A439" s="7">
        <v>17</v>
      </c>
      <c r="B439" s="1" t="s">
        <v>34</v>
      </c>
      <c r="C439" s="1">
        <v>1.3</v>
      </c>
      <c r="D439" s="1" t="s">
        <v>41</v>
      </c>
      <c r="E439" s="1">
        <v>8.3000000000000007</v>
      </c>
      <c r="F439" s="1">
        <v>1</v>
      </c>
      <c r="G439" s="1">
        <v>3.95</v>
      </c>
      <c r="H439" s="1">
        <v>1.2</v>
      </c>
      <c r="I439" s="1" t="s">
        <v>40</v>
      </c>
      <c r="J439" s="1">
        <v>4</v>
      </c>
      <c r="K439" s="1">
        <v>1</v>
      </c>
      <c r="L439" s="1">
        <v>1</v>
      </c>
      <c r="M439" s="8">
        <v>0</v>
      </c>
    </row>
    <row r="440" spans="1:13" hidden="1" x14ac:dyDescent="0.25">
      <c r="A440" s="7">
        <v>14</v>
      </c>
      <c r="B440" s="1" t="s">
        <v>34</v>
      </c>
      <c r="C440" s="1">
        <v>5.6</v>
      </c>
      <c r="D440" s="1" t="s">
        <v>35</v>
      </c>
      <c r="E440" s="1">
        <v>8.8000000000000007</v>
      </c>
      <c r="F440" s="1">
        <v>0.9</v>
      </c>
      <c r="G440" s="1">
        <v>3.03</v>
      </c>
      <c r="H440" s="1">
        <v>2</v>
      </c>
      <c r="I440" s="1" t="s">
        <v>36</v>
      </c>
      <c r="J440" s="1">
        <v>8</v>
      </c>
      <c r="K440" s="1">
        <v>10</v>
      </c>
      <c r="L440" s="1">
        <v>3</v>
      </c>
      <c r="M440" s="8">
        <v>0</v>
      </c>
    </row>
    <row r="441" spans="1:13" x14ac:dyDescent="0.25">
      <c r="A441" s="7">
        <v>13</v>
      </c>
      <c r="B441" s="1" t="s">
        <v>37</v>
      </c>
      <c r="C441" s="1">
        <v>2.4</v>
      </c>
      <c r="D441" s="1" t="s">
        <v>35</v>
      </c>
      <c r="E441" s="1">
        <v>5.5</v>
      </c>
      <c r="F441" s="1">
        <v>0.6</v>
      </c>
      <c r="G441" s="1">
        <v>3.56</v>
      </c>
      <c r="H441" s="1">
        <v>1.6</v>
      </c>
      <c r="I441" s="1" t="s">
        <v>40</v>
      </c>
      <c r="J441" s="1">
        <v>4</v>
      </c>
      <c r="K441" s="1">
        <v>8</v>
      </c>
      <c r="L441" s="1">
        <v>7</v>
      </c>
      <c r="M441" s="8">
        <v>0</v>
      </c>
    </row>
    <row r="442" spans="1:13" hidden="1" x14ac:dyDescent="0.25">
      <c r="A442" s="7">
        <v>16</v>
      </c>
      <c r="B442" s="1" t="s">
        <v>34</v>
      </c>
      <c r="C442" s="1">
        <v>2</v>
      </c>
      <c r="D442" s="1" t="s">
        <v>41</v>
      </c>
      <c r="E442" s="1">
        <v>7.8</v>
      </c>
      <c r="F442" s="1">
        <v>2.8</v>
      </c>
      <c r="G442" s="1">
        <v>2.1</v>
      </c>
      <c r="H442" s="1">
        <v>0.6</v>
      </c>
      <c r="I442" s="1" t="s">
        <v>40</v>
      </c>
      <c r="J442" s="1">
        <v>2</v>
      </c>
      <c r="K442" s="1">
        <v>6</v>
      </c>
      <c r="L442" s="1">
        <v>8</v>
      </c>
      <c r="M442" s="8">
        <v>0</v>
      </c>
    </row>
    <row r="443" spans="1:13" hidden="1" x14ac:dyDescent="0.25">
      <c r="A443" s="7">
        <v>15</v>
      </c>
      <c r="B443" s="1" t="s">
        <v>34</v>
      </c>
      <c r="C443" s="1">
        <v>6.6</v>
      </c>
      <c r="D443" s="1" t="s">
        <v>35</v>
      </c>
      <c r="E443" s="1">
        <v>8.6</v>
      </c>
      <c r="F443" s="1">
        <v>1.5</v>
      </c>
      <c r="G443" s="1">
        <v>2.63</v>
      </c>
      <c r="H443" s="1">
        <v>1.1000000000000001</v>
      </c>
      <c r="I443" s="1" t="s">
        <v>36</v>
      </c>
      <c r="J443" s="1">
        <v>1</v>
      </c>
      <c r="K443" s="1">
        <v>9</v>
      </c>
      <c r="L443" s="1">
        <v>9</v>
      </c>
      <c r="M443" s="8">
        <v>0</v>
      </c>
    </row>
    <row r="444" spans="1:13" hidden="1" x14ac:dyDescent="0.25">
      <c r="A444" s="7">
        <v>17</v>
      </c>
      <c r="B444" s="1" t="s">
        <v>37</v>
      </c>
      <c r="C444" s="1">
        <v>2.2999999999999998</v>
      </c>
      <c r="D444" s="1" t="s">
        <v>38</v>
      </c>
      <c r="E444" s="1">
        <v>6.4</v>
      </c>
      <c r="F444" s="1">
        <v>2.4</v>
      </c>
      <c r="G444" s="1">
        <v>3.61</v>
      </c>
      <c r="H444" s="1">
        <v>0.6</v>
      </c>
      <c r="I444" s="1" t="s">
        <v>40</v>
      </c>
      <c r="J444" s="1">
        <v>2</v>
      </c>
      <c r="K444" s="1">
        <v>1</v>
      </c>
      <c r="L444" s="1">
        <v>1</v>
      </c>
      <c r="M444" s="8">
        <v>0</v>
      </c>
    </row>
    <row r="445" spans="1:13" hidden="1" x14ac:dyDescent="0.25">
      <c r="A445" s="7">
        <v>16</v>
      </c>
      <c r="B445" s="1" t="s">
        <v>34</v>
      </c>
      <c r="C445" s="1">
        <v>6.4</v>
      </c>
      <c r="D445" s="1" t="s">
        <v>38</v>
      </c>
      <c r="E445" s="1">
        <v>5.4</v>
      </c>
      <c r="F445" s="1">
        <v>1.4</v>
      </c>
      <c r="G445" s="1">
        <v>2.42</v>
      </c>
      <c r="H445" s="1">
        <v>1.9</v>
      </c>
      <c r="I445" s="1" t="s">
        <v>40</v>
      </c>
      <c r="J445" s="1">
        <v>4</v>
      </c>
      <c r="K445" s="1">
        <v>9</v>
      </c>
      <c r="L445" s="1">
        <v>5</v>
      </c>
      <c r="M445" s="8">
        <v>0</v>
      </c>
    </row>
    <row r="446" spans="1:13" hidden="1" x14ac:dyDescent="0.25">
      <c r="A446" s="7">
        <v>18</v>
      </c>
      <c r="B446" s="1" t="s">
        <v>37</v>
      </c>
      <c r="C446" s="1">
        <v>3.5</v>
      </c>
      <c r="D446" s="1" t="s">
        <v>41</v>
      </c>
      <c r="E446" s="1">
        <v>5.9</v>
      </c>
      <c r="F446" s="1">
        <v>1.3</v>
      </c>
      <c r="G446" s="1">
        <v>3.68</v>
      </c>
      <c r="H446" s="1">
        <v>2</v>
      </c>
      <c r="I446" s="1" t="s">
        <v>40</v>
      </c>
      <c r="J446" s="1">
        <v>7</v>
      </c>
      <c r="K446" s="1">
        <v>4</v>
      </c>
      <c r="L446" s="1">
        <v>10</v>
      </c>
      <c r="M446" s="8">
        <v>0</v>
      </c>
    </row>
    <row r="447" spans="1:13" x14ac:dyDescent="0.25">
      <c r="A447" s="7">
        <v>18</v>
      </c>
      <c r="B447" s="1" t="s">
        <v>37</v>
      </c>
      <c r="C447" s="1">
        <v>1.7</v>
      </c>
      <c r="D447" s="1" t="s">
        <v>35</v>
      </c>
      <c r="E447" s="1">
        <v>8.5</v>
      </c>
      <c r="F447" s="1">
        <v>1</v>
      </c>
      <c r="G447" s="1">
        <v>3.32</v>
      </c>
      <c r="H447" s="1">
        <v>1.3</v>
      </c>
      <c r="I447" s="1" t="s">
        <v>40</v>
      </c>
      <c r="J447" s="1">
        <v>1</v>
      </c>
      <c r="K447" s="1">
        <v>1</v>
      </c>
      <c r="L447" s="1">
        <v>7</v>
      </c>
      <c r="M447" s="8">
        <v>0</v>
      </c>
    </row>
    <row r="448" spans="1:13" hidden="1" x14ac:dyDescent="0.25">
      <c r="A448" s="7">
        <v>14</v>
      </c>
      <c r="B448" s="1" t="s">
        <v>34</v>
      </c>
      <c r="C448" s="1">
        <v>4.0999999999999996</v>
      </c>
      <c r="D448" s="1" t="s">
        <v>35</v>
      </c>
      <c r="E448" s="1">
        <v>8.1999999999999993</v>
      </c>
      <c r="F448" s="1">
        <v>1.7</v>
      </c>
      <c r="G448" s="1">
        <v>2.3199999999999998</v>
      </c>
      <c r="H448" s="1">
        <v>1.4</v>
      </c>
      <c r="I448" s="1" t="s">
        <v>39</v>
      </c>
      <c r="J448" s="1">
        <v>9</v>
      </c>
      <c r="K448" s="1">
        <v>2</v>
      </c>
      <c r="L448" s="1">
        <v>4</v>
      </c>
      <c r="M448" s="8">
        <v>0</v>
      </c>
    </row>
    <row r="449" spans="1:13" hidden="1" x14ac:dyDescent="0.25">
      <c r="A449" s="7">
        <v>14</v>
      </c>
      <c r="B449" s="1" t="s">
        <v>34</v>
      </c>
      <c r="C449" s="1">
        <v>3.3</v>
      </c>
      <c r="D449" s="1" t="s">
        <v>35</v>
      </c>
      <c r="E449" s="1">
        <v>6.5</v>
      </c>
      <c r="F449" s="1">
        <v>0.8</v>
      </c>
      <c r="G449" s="1">
        <v>2.54</v>
      </c>
      <c r="H449" s="1">
        <v>0.8</v>
      </c>
      <c r="I449" s="1" t="s">
        <v>36</v>
      </c>
      <c r="J449" s="1">
        <v>1</v>
      </c>
      <c r="K449" s="1">
        <v>2</v>
      </c>
      <c r="L449" s="1">
        <v>3</v>
      </c>
      <c r="M449" s="8">
        <v>0</v>
      </c>
    </row>
    <row r="450" spans="1:13" hidden="1" x14ac:dyDescent="0.25">
      <c r="A450" s="7">
        <v>14</v>
      </c>
      <c r="B450" s="1" t="s">
        <v>37</v>
      </c>
      <c r="C450" s="1">
        <v>5</v>
      </c>
      <c r="D450" s="1" t="s">
        <v>38</v>
      </c>
      <c r="E450" s="1">
        <v>4.9000000000000004</v>
      </c>
      <c r="F450" s="1">
        <v>2.6</v>
      </c>
      <c r="G450" s="1">
        <v>3.82</v>
      </c>
      <c r="H450" s="1">
        <v>1.9</v>
      </c>
      <c r="I450" s="1" t="s">
        <v>40</v>
      </c>
      <c r="J450" s="1">
        <v>3</v>
      </c>
      <c r="K450" s="1">
        <v>10</v>
      </c>
      <c r="L450" s="1">
        <v>10</v>
      </c>
      <c r="M450" s="8">
        <v>0</v>
      </c>
    </row>
    <row r="451" spans="1:13" x14ac:dyDescent="0.25">
      <c r="A451" s="7">
        <v>19</v>
      </c>
      <c r="B451" s="1" t="s">
        <v>37</v>
      </c>
      <c r="C451" s="1">
        <v>1.5</v>
      </c>
      <c r="D451" s="1" t="s">
        <v>35</v>
      </c>
      <c r="E451" s="1">
        <v>8.4</v>
      </c>
      <c r="F451" s="1">
        <v>3</v>
      </c>
      <c r="G451" s="1">
        <v>2.46</v>
      </c>
      <c r="H451" s="1">
        <v>1.5</v>
      </c>
      <c r="I451" s="1" t="s">
        <v>39</v>
      </c>
      <c r="J451" s="1">
        <v>1</v>
      </c>
      <c r="K451" s="1">
        <v>7</v>
      </c>
      <c r="L451" s="1">
        <v>6</v>
      </c>
      <c r="M451" s="8">
        <v>0</v>
      </c>
    </row>
    <row r="452" spans="1:13" hidden="1" x14ac:dyDescent="0.25">
      <c r="A452" s="7">
        <v>17</v>
      </c>
      <c r="B452" s="1" t="s">
        <v>37</v>
      </c>
      <c r="C452" s="1">
        <v>3.3</v>
      </c>
      <c r="D452" s="1" t="s">
        <v>38</v>
      </c>
      <c r="E452" s="1">
        <v>8.4</v>
      </c>
      <c r="F452" s="1">
        <v>2.1</v>
      </c>
      <c r="G452" s="1">
        <v>3.4</v>
      </c>
      <c r="H452" s="1">
        <v>0.2</v>
      </c>
      <c r="I452" s="1" t="s">
        <v>39</v>
      </c>
      <c r="J452" s="1">
        <v>1</v>
      </c>
      <c r="K452" s="1">
        <v>3</v>
      </c>
      <c r="L452" s="1">
        <v>10</v>
      </c>
      <c r="M452" s="8">
        <v>0</v>
      </c>
    </row>
    <row r="453" spans="1:13" hidden="1" x14ac:dyDescent="0.25">
      <c r="A453" s="7">
        <v>13</v>
      </c>
      <c r="B453" s="1" t="s">
        <v>34</v>
      </c>
      <c r="C453" s="1">
        <v>6.4</v>
      </c>
      <c r="D453" s="1" t="s">
        <v>41</v>
      </c>
      <c r="E453" s="1">
        <v>4.0999999999999996</v>
      </c>
      <c r="F453" s="1">
        <v>1.3</v>
      </c>
      <c r="G453" s="1">
        <v>2.77</v>
      </c>
      <c r="H453" s="1">
        <v>1.3</v>
      </c>
      <c r="I453" s="1" t="s">
        <v>36</v>
      </c>
      <c r="J453" s="1">
        <v>10</v>
      </c>
      <c r="K453" s="1">
        <v>6</v>
      </c>
      <c r="L453" s="1">
        <v>1</v>
      </c>
      <c r="M453" s="8">
        <v>0</v>
      </c>
    </row>
    <row r="454" spans="1:13" x14ac:dyDescent="0.25">
      <c r="A454" s="7">
        <v>17</v>
      </c>
      <c r="B454" s="1" t="s">
        <v>37</v>
      </c>
      <c r="C454" s="1">
        <v>8</v>
      </c>
      <c r="D454" s="1" t="s">
        <v>35</v>
      </c>
      <c r="E454" s="1">
        <v>8.1</v>
      </c>
      <c r="F454" s="1">
        <v>1.2</v>
      </c>
      <c r="G454" s="1">
        <v>2.13</v>
      </c>
      <c r="H454" s="1">
        <v>1</v>
      </c>
      <c r="I454" s="1" t="s">
        <v>36</v>
      </c>
      <c r="J454" s="1">
        <v>1</v>
      </c>
      <c r="K454" s="1">
        <v>8</v>
      </c>
      <c r="L454" s="1">
        <v>7</v>
      </c>
      <c r="M454" s="8">
        <v>0</v>
      </c>
    </row>
    <row r="455" spans="1:13" hidden="1" x14ac:dyDescent="0.25">
      <c r="A455" s="7">
        <v>16</v>
      </c>
      <c r="B455" s="1" t="s">
        <v>37</v>
      </c>
      <c r="C455" s="1">
        <v>1</v>
      </c>
      <c r="D455" s="1" t="s">
        <v>41</v>
      </c>
      <c r="E455" s="1">
        <v>4.0999999999999996</v>
      </c>
      <c r="F455" s="1">
        <v>1.3</v>
      </c>
      <c r="G455" s="1">
        <v>2.2200000000000002</v>
      </c>
      <c r="H455" s="1">
        <v>0.4</v>
      </c>
      <c r="I455" s="1" t="s">
        <v>36</v>
      </c>
      <c r="J455" s="1">
        <v>2</v>
      </c>
      <c r="K455" s="1">
        <v>1</v>
      </c>
      <c r="L455" s="1">
        <v>8</v>
      </c>
      <c r="M455" s="8">
        <v>0</v>
      </c>
    </row>
    <row r="456" spans="1:13" x14ac:dyDescent="0.25">
      <c r="A456" s="7">
        <v>18</v>
      </c>
      <c r="B456" s="1" t="s">
        <v>37</v>
      </c>
      <c r="C456" s="1">
        <v>4.2</v>
      </c>
      <c r="D456" s="1" t="s">
        <v>35</v>
      </c>
      <c r="E456" s="1">
        <v>5.4</v>
      </c>
      <c r="F456" s="1">
        <v>1.1000000000000001</v>
      </c>
      <c r="G456" s="1">
        <v>2.31</v>
      </c>
      <c r="H456" s="1">
        <v>0.3</v>
      </c>
      <c r="I456" s="1" t="s">
        <v>36</v>
      </c>
      <c r="J456" s="1">
        <v>4</v>
      </c>
      <c r="K456" s="1">
        <v>9</v>
      </c>
      <c r="L456" s="1">
        <v>1</v>
      </c>
      <c r="M456" s="8">
        <v>0</v>
      </c>
    </row>
    <row r="457" spans="1:13" hidden="1" x14ac:dyDescent="0.25">
      <c r="A457" s="7">
        <v>18</v>
      </c>
      <c r="B457" s="1" t="s">
        <v>37</v>
      </c>
      <c r="C457" s="1">
        <v>4.5999999999999996</v>
      </c>
      <c r="D457" s="1" t="s">
        <v>38</v>
      </c>
      <c r="E457" s="1">
        <v>7.3</v>
      </c>
      <c r="F457" s="1">
        <v>2.8</v>
      </c>
      <c r="G457" s="1">
        <v>3.22</v>
      </c>
      <c r="H457" s="1">
        <v>0.6</v>
      </c>
      <c r="I457" s="1" t="s">
        <v>39</v>
      </c>
      <c r="J457" s="1">
        <v>1</v>
      </c>
      <c r="K457" s="1">
        <v>3</v>
      </c>
      <c r="L457" s="1">
        <v>6</v>
      </c>
      <c r="M457" s="8">
        <v>0</v>
      </c>
    </row>
    <row r="458" spans="1:13" hidden="1" x14ac:dyDescent="0.25">
      <c r="A458" s="7">
        <v>17</v>
      </c>
      <c r="B458" s="1" t="s">
        <v>37</v>
      </c>
      <c r="C458" s="1">
        <v>2.8</v>
      </c>
      <c r="D458" s="1" t="s">
        <v>41</v>
      </c>
      <c r="E458" s="1">
        <v>6.2</v>
      </c>
      <c r="F458" s="1">
        <v>2.4</v>
      </c>
      <c r="G458" s="1">
        <v>2.58</v>
      </c>
      <c r="H458" s="1">
        <v>0.4</v>
      </c>
      <c r="I458" s="1" t="s">
        <v>39</v>
      </c>
      <c r="J458" s="1">
        <v>4</v>
      </c>
      <c r="K458" s="1">
        <v>10</v>
      </c>
      <c r="L458" s="1">
        <v>9</v>
      </c>
      <c r="M458" s="8">
        <v>0</v>
      </c>
    </row>
    <row r="459" spans="1:13" x14ac:dyDescent="0.25">
      <c r="A459" s="7">
        <v>16</v>
      </c>
      <c r="B459" s="1" t="s">
        <v>37</v>
      </c>
      <c r="C459" s="1">
        <v>6.3</v>
      </c>
      <c r="D459" s="1" t="s">
        <v>35</v>
      </c>
      <c r="E459" s="1">
        <v>6.9</v>
      </c>
      <c r="F459" s="1">
        <v>1.3</v>
      </c>
      <c r="G459" s="1">
        <v>2.15</v>
      </c>
      <c r="H459" s="1">
        <v>1.4</v>
      </c>
      <c r="I459" s="1" t="s">
        <v>36</v>
      </c>
      <c r="J459" s="1">
        <v>9</v>
      </c>
      <c r="K459" s="1">
        <v>2</v>
      </c>
      <c r="L459" s="1">
        <v>10</v>
      </c>
      <c r="M459" s="8">
        <v>0</v>
      </c>
    </row>
    <row r="460" spans="1:13" hidden="1" x14ac:dyDescent="0.25">
      <c r="A460" s="7">
        <v>17</v>
      </c>
      <c r="B460" s="1" t="s">
        <v>37</v>
      </c>
      <c r="C460" s="1">
        <v>7.2</v>
      </c>
      <c r="D460" s="1" t="s">
        <v>38</v>
      </c>
      <c r="E460" s="1">
        <v>7</v>
      </c>
      <c r="F460" s="1">
        <v>1.3</v>
      </c>
      <c r="G460" s="1">
        <v>3.86</v>
      </c>
      <c r="H460" s="1">
        <v>0.9</v>
      </c>
      <c r="I460" s="1" t="s">
        <v>36</v>
      </c>
      <c r="J460" s="1">
        <v>7</v>
      </c>
      <c r="K460" s="1">
        <v>8</v>
      </c>
      <c r="L460" s="1">
        <v>4</v>
      </c>
      <c r="M460" s="8">
        <v>0</v>
      </c>
    </row>
    <row r="461" spans="1:13" hidden="1" x14ac:dyDescent="0.25">
      <c r="A461" s="7">
        <v>13</v>
      </c>
      <c r="B461" s="1" t="s">
        <v>34</v>
      </c>
      <c r="C461" s="1">
        <v>4.5</v>
      </c>
      <c r="D461" s="1" t="s">
        <v>41</v>
      </c>
      <c r="E461" s="1">
        <v>6.7</v>
      </c>
      <c r="F461" s="1">
        <v>2.2000000000000002</v>
      </c>
      <c r="G461" s="1">
        <v>3.73</v>
      </c>
      <c r="H461" s="1">
        <v>0.3</v>
      </c>
      <c r="I461" s="1" t="s">
        <v>36</v>
      </c>
      <c r="J461" s="1">
        <v>3</v>
      </c>
      <c r="K461" s="1">
        <v>5</v>
      </c>
      <c r="L461" s="1">
        <v>10</v>
      </c>
      <c r="M461" s="8">
        <v>0</v>
      </c>
    </row>
    <row r="462" spans="1:13" hidden="1" x14ac:dyDescent="0.25">
      <c r="A462" s="7">
        <v>18</v>
      </c>
      <c r="B462" s="1" t="s">
        <v>34</v>
      </c>
      <c r="C462" s="1">
        <v>5.3</v>
      </c>
      <c r="D462" s="1" t="s">
        <v>41</v>
      </c>
      <c r="E462" s="1">
        <v>5.0999999999999996</v>
      </c>
      <c r="F462" s="1">
        <v>1.2</v>
      </c>
      <c r="G462" s="1">
        <v>3.32</v>
      </c>
      <c r="H462" s="1">
        <v>1.8</v>
      </c>
      <c r="I462" s="1" t="s">
        <v>36</v>
      </c>
      <c r="J462" s="1">
        <v>7</v>
      </c>
      <c r="K462" s="1">
        <v>3</v>
      </c>
      <c r="L462" s="1">
        <v>8</v>
      </c>
      <c r="M462" s="8">
        <v>0</v>
      </c>
    </row>
    <row r="463" spans="1:13" hidden="1" x14ac:dyDescent="0.25">
      <c r="A463" s="7">
        <v>13</v>
      </c>
      <c r="B463" s="1" t="s">
        <v>34</v>
      </c>
      <c r="C463" s="1">
        <v>5.2</v>
      </c>
      <c r="D463" s="1" t="s">
        <v>38</v>
      </c>
      <c r="E463" s="1">
        <v>6.7</v>
      </c>
      <c r="F463" s="1">
        <v>2.5</v>
      </c>
      <c r="G463" s="1">
        <v>3.82</v>
      </c>
      <c r="H463" s="1">
        <v>0.9</v>
      </c>
      <c r="I463" s="1" t="s">
        <v>40</v>
      </c>
      <c r="J463" s="1">
        <v>8</v>
      </c>
      <c r="K463" s="1">
        <v>8</v>
      </c>
      <c r="L463" s="1">
        <v>6</v>
      </c>
      <c r="M463" s="8">
        <v>0</v>
      </c>
    </row>
    <row r="464" spans="1:13" hidden="1" x14ac:dyDescent="0.25">
      <c r="A464" s="7">
        <v>13</v>
      </c>
      <c r="B464" s="1" t="s">
        <v>34</v>
      </c>
      <c r="C464" s="1">
        <v>7.9</v>
      </c>
      <c r="D464" s="1" t="s">
        <v>38</v>
      </c>
      <c r="E464" s="1">
        <v>6</v>
      </c>
      <c r="F464" s="1">
        <v>2.7</v>
      </c>
      <c r="G464" s="1">
        <v>2.85</v>
      </c>
      <c r="H464" s="1">
        <v>0.3</v>
      </c>
      <c r="I464" s="1" t="s">
        <v>36</v>
      </c>
      <c r="J464" s="1">
        <v>9</v>
      </c>
      <c r="K464" s="1">
        <v>10</v>
      </c>
      <c r="L464" s="1">
        <v>3</v>
      </c>
      <c r="M464" s="8">
        <v>0</v>
      </c>
    </row>
    <row r="465" spans="1:13" hidden="1" x14ac:dyDescent="0.25">
      <c r="A465" s="7">
        <v>19</v>
      </c>
      <c r="B465" s="1" t="s">
        <v>34</v>
      </c>
      <c r="C465" s="1">
        <v>6.9</v>
      </c>
      <c r="D465" s="1" t="s">
        <v>38</v>
      </c>
      <c r="E465" s="1">
        <v>8.5</v>
      </c>
      <c r="F465" s="1">
        <v>1.5</v>
      </c>
      <c r="G465" s="1">
        <v>3.55</v>
      </c>
      <c r="H465" s="1">
        <v>1.3</v>
      </c>
      <c r="I465" s="1" t="s">
        <v>36</v>
      </c>
      <c r="J465" s="1">
        <v>5</v>
      </c>
      <c r="K465" s="1">
        <v>6</v>
      </c>
      <c r="L465" s="1">
        <v>1</v>
      </c>
      <c r="M465" s="8">
        <v>0</v>
      </c>
    </row>
    <row r="466" spans="1:13" x14ac:dyDescent="0.25">
      <c r="A466" s="7">
        <v>17</v>
      </c>
      <c r="B466" s="1" t="s">
        <v>37</v>
      </c>
      <c r="C466" s="1">
        <v>5.8</v>
      </c>
      <c r="D466" s="1" t="s">
        <v>35</v>
      </c>
      <c r="E466" s="1">
        <v>4.0999999999999996</v>
      </c>
      <c r="F466" s="1">
        <v>2.9</v>
      </c>
      <c r="G466" s="1">
        <v>2.33</v>
      </c>
      <c r="H466" s="1">
        <v>0.4</v>
      </c>
      <c r="I466" s="1" t="s">
        <v>39</v>
      </c>
      <c r="J466" s="1">
        <v>9</v>
      </c>
      <c r="K466" s="1">
        <v>6</v>
      </c>
      <c r="L466" s="1">
        <v>8</v>
      </c>
      <c r="M466" s="8">
        <v>0</v>
      </c>
    </row>
    <row r="467" spans="1:13" hidden="1" x14ac:dyDescent="0.25">
      <c r="A467" s="7">
        <v>19</v>
      </c>
      <c r="B467" s="1" t="s">
        <v>34</v>
      </c>
      <c r="C467" s="1">
        <v>7</v>
      </c>
      <c r="D467" s="1" t="s">
        <v>35</v>
      </c>
      <c r="E467" s="1">
        <v>8.3000000000000007</v>
      </c>
      <c r="F467" s="1">
        <v>2.1</v>
      </c>
      <c r="G467" s="1">
        <v>3.09</v>
      </c>
      <c r="H467" s="1">
        <v>1.5</v>
      </c>
      <c r="I467" s="1" t="s">
        <v>36</v>
      </c>
      <c r="J467" s="1">
        <v>9</v>
      </c>
      <c r="K467" s="1">
        <v>7</v>
      </c>
      <c r="L467" s="1">
        <v>3</v>
      </c>
      <c r="M467" s="8">
        <v>0</v>
      </c>
    </row>
    <row r="468" spans="1:13" hidden="1" x14ac:dyDescent="0.25">
      <c r="A468" s="7">
        <v>14</v>
      </c>
      <c r="B468" s="1" t="s">
        <v>37</v>
      </c>
      <c r="C468" s="1">
        <v>3</v>
      </c>
      <c r="D468" s="1" t="s">
        <v>38</v>
      </c>
      <c r="E468" s="1">
        <v>8.3000000000000007</v>
      </c>
      <c r="F468" s="1">
        <v>2.7</v>
      </c>
      <c r="G468" s="1">
        <v>3.9</v>
      </c>
      <c r="H468" s="1">
        <v>0.7</v>
      </c>
      <c r="I468" s="1" t="s">
        <v>39</v>
      </c>
      <c r="J468" s="1">
        <v>3</v>
      </c>
      <c r="K468" s="1">
        <v>1</v>
      </c>
      <c r="L468" s="1">
        <v>5</v>
      </c>
      <c r="M468" s="8">
        <v>0</v>
      </c>
    </row>
    <row r="469" spans="1:13" hidden="1" x14ac:dyDescent="0.25">
      <c r="A469" s="7">
        <v>18</v>
      </c>
      <c r="B469" s="1" t="s">
        <v>34</v>
      </c>
      <c r="C469" s="1">
        <v>6.3</v>
      </c>
      <c r="D469" s="1" t="s">
        <v>41</v>
      </c>
      <c r="E469" s="1">
        <v>7.9</v>
      </c>
      <c r="F469" s="1">
        <v>1.7</v>
      </c>
      <c r="G469" s="1">
        <v>2.85</v>
      </c>
      <c r="H469" s="1">
        <v>0.3</v>
      </c>
      <c r="I469" s="1" t="s">
        <v>40</v>
      </c>
      <c r="J469" s="1">
        <v>1</v>
      </c>
      <c r="K469" s="1">
        <v>1</v>
      </c>
      <c r="L469" s="1">
        <v>2</v>
      </c>
      <c r="M469" s="8">
        <v>0</v>
      </c>
    </row>
    <row r="470" spans="1:13" x14ac:dyDescent="0.25">
      <c r="A470" s="7">
        <v>17</v>
      </c>
      <c r="B470" s="1" t="s">
        <v>37</v>
      </c>
      <c r="C470" s="1">
        <v>5.5</v>
      </c>
      <c r="D470" s="1" t="s">
        <v>35</v>
      </c>
      <c r="E470" s="1">
        <v>4.9000000000000004</v>
      </c>
      <c r="F470" s="1">
        <v>2.6</v>
      </c>
      <c r="G470" s="1">
        <v>3.64</v>
      </c>
      <c r="H470" s="1">
        <v>0.8</v>
      </c>
      <c r="I470" s="1" t="s">
        <v>40</v>
      </c>
      <c r="J470" s="1">
        <v>6</v>
      </c>
      <c r="K470" s="1">
        <v>8</v>
      </c>
      <c r="L470" s="1">
        <v>3</v>
      </c>
      <c r="M470" s="8">
        <v>0</v>
      </c>
    </row>
    <row r="471" spans="1:13" hidden="1" x14ac:dyDescent="0.25">
      <c r="A471" s="7">
        <v>17</v>
      </c>
      <c r="B471" s="1" t="s">
        <v>37</v>
      </c>
      <c r="C471" s="1">
        <v>2.2000000000000002</v>
      </c>
      <c r="D471" s="1" t="s">
        <v>41</v>
      </c>
      <c r="E471" s="1">
        <v>7.5</v>
      </c>
      <c r="F471" s="1">
        <v>2.2000000000000002</v>
      </c>
      <c r="G471" s="1">
        <v>2.95</v>
      </c>
      <c r="H471" s="1">
        <v>1.6</v>
      </c>
      <c r="I471" s="1" t="s">
        <v>36</v>
      </c>
      <c r="J471" s="1">
        <v>9</v>
      </c>
      <c r="K471" s="1">
        <v>7</v>
      </c>
      <c r="L471" s="1">
        <v>4</v>
      </c>
      <c r="M471" s="8">
        <v>0</v>
      </c>
    </row>
    <row r="472" spans="1:13" hidden="1" x14ac:dyDescent="0.25">
      <c r="A472" s="7">
        <v>14</v>
      </c>
      <c r="B472" s="1" t="s">
        <v>34</v>
      </c>
      <c r="C472" s="1">
        <v>1.4</v>
      </c>
      <c r="D472" s="1" t="s">
        <v>41</v>
      </c>
      <c r="E472" s="1">
        <v>4.5</v>
      </c>
      <c r="F472" s="1">
        <v>1.4</v>
      </c>
      <c r="G472" s="1">
        <v>3.17</v>
      </c>
      <c r="H472" s="1">
        <v>1.7</v>
      </c>
      <c r="I472" s="1" t="s">
        <v>39</v>
      </c>
      <c r="J472" s="1">
        <v>9</v>
      </c>
      <c r="K472" s="1">
        <v>10</v>
      </c>
      <c r="L472" s="1">
        <v>9</v>
      </c>
      <c r="M472" s="8">
        <v>0</v>
      </c>
    </row>
    <row r="473" spans="1:13" hidden="1" x14ac:dyDescent="0.25">
      <c r="A473" s="7">
        <v>18</v>
      </c>
      <c r="B473" s="1" t="s">
        <v>34</v>
      </c>
      <c r="C473" s="1">
        <v>4.5</v>
      </c>
      <c r="D473" s="1" t="s">
        <v>35</v>
      </c>
      <c r="E473" s="1">
        <v>4.4000000000000004</v>
      </c>
      <c r="F473" s="1">
        <v>1.9</v>
      </c>
      <c r="G473" s="1">
        <v>2.2599999999999998</v>
      </c>
      <c r="H473" s="1">
        <v>0</v>
      </c>
      <c r="I473" s="1" t="s">
        <v>36</v>
      </c>
      <c r="J473" s="1">
        <v>7</v>
      </c>
      <c r="K473" s="1">
        <v>8</v>
      </c>
      <c r="L473" s="1">
        <v>10</v>
      </c>
      <c r="M473" s="8">
        <v>0</v>
      </c>
    </row>
    <row r="474" spans="1:13" x14ac:dyDescent="0.25">
      <c r="A474" s="7">
        <v>14</v>
      </c>
      <c r="B474" s="1" t="s">
        <v>37</v>
      </c>
      <c r="C474" s="1">
        <v>6.1</v>
      </c>
      <c r="D474" s="1" t="s">
        <v>35</v>
      </c>
      <c r="E474" s="1">
        <v>5.7</v>
      </c>
      <c r="F474" s="1">
        <v>2</v>
      </c>
      <c r="G474" s="1">
        <v>3.9</v>
      </c>
      <c r="H474" s="1">
        <v>1</v>
      </c>
      <c r="I474" s="1" t="s">
        <v>36</v>
      </c>
      <c r="J474" s="1">
        <v>8</v>
      </c>
      <c r="K474" s="1">
        <v>4</v>
      </c>
      <c r="L474" s="1">
        <v>6</v>
      </c>
      <c r="M474" s="8">
        <v>0</v>
      </c>
    </row>
    <row r="475" spans="1:13" hidden="1" x14ac:dyDescent="0.25">
      <c r="A475" s="7">
        <v>17</v>
      </c>
      <c r="B475" s="1" t="s">
        <v>34</v>
      </c>
      <c r="C475" s="1">
        <v>3.3</v>
      </c>
      <c r="D475" s="1" t="s">
        <v>38</v>
      </c>
      <c r="E475" s="1">
        <v>5.7</v>
      </c>
      <c r="F475" s="1">
        <v>2</v>
      </c>
      <c r="G475" s="1">
        <v>3.71</v>
      </c>
      <c r="H475" s="1">
        <v>0.1</v>
      </c>
      <c r="I475" s="1" t="s">
        <v>36</v>
      </c>
      <c r="J475" s="1">
        <v>6</v>
      </c>
      <c r="K475" s="1">
        <v>6</v>
      </c>
      <c r="L475" s="1">
        <v>8</v>
      </c>
      <c r="M475" s="8">
        <v>0</v>
      </c>
    </row>
    <row r="476" spans="1:13" hidden="1" x14ac:dyDescent="0.25">
      <c r="A476" s="7">
        <v>15</v>
      </c>
      <c r="B476" s="1" t="s">
        <v>34</v>
      </c>
      <c r="C476" s="1">
        <v>5.2</v>
      </c>
      <c r="D476" s="1" t="s">
        <v>41</v>
      </c>
      <c r="E476" s="1">
        <v>5.6</v>
      </c>
      <c r="F476" s="1">
        <v>1.1000000000000001</v>
      </c>
      <c r="G476" s="1">
        <v>2.88</v>
      </c>
      <c r="H476" s="1">
        <v>0.1</v>
      </c>
      <c r="I476" s="1" t="s">
        <v>40</v>
      </c>
      <c r="J476" s="1">
        <v>4</v>
      </c>
      <c r="K476" s="1">
        <v>8</v>
      </c>
      <c r="L476" s="1">
        <v>7</v>
      </c>
      <c r="M476" s="8">
        <v>0</v>
      </c>
    </row>
    <row r="477" spans="1:13" hidden="1" x14ac:dyDescent="0.25">
      <c r="A477" s="7">
        <v>18</v>
      </c>
      <c r="B477" s="1" t="s">
        <v>34</v>
      </c>
      <c r="C477" s="1">
        <v>5</v>
      </c>
      <c r="D477" s="1" t="s">
        <v>41</v>
      </c>
      <c r="E477" s="1">
        <v>5.8</v>
      </c>
      <c r="F477" s="1">
        <v>1.3</v>
      </c>
      <c r="G477" s="1">
        <v>2.12</v>
      </c>
      <c r="H477" s="1">
        <v>0.1</v>
      </c>
      <c r="I477" s="1" t="s">
        <v>36</v>
      </c>
      <c r="J477" s="1">
        <v>1</v>
      </c>
      <c r="K477" s="1">
        <v>9</v>
      </c>
      <c r="L477" s="1">
        <v>2</v>
      </c>
      <c r="M477" s="8">
        <v>0</v>
      </c>
    </row>
    <row r="478" spans="1:13" hidden="1" x14ac:dyDescent="0.25">
      <c r="A478" s="7">
        <v>17</v>
      </c>
      <c r="B478" s="1" t="s">
        <v>37</v>
      </c>
      <c r="C478" s="1">
        <v>1.8</v>
      </c>
      <c r="D478" s="1" t="s">
        <v>38</v>
      </c>
      <c r="E478" s="1">
        <v>5.9</v>
      </c>
      <c r="F478" s="1">
        <v>1.9</v>
      </c>
      <c r="G478" s="1">
        <v>2.89</v>
      </c>
      <c r="H478" s="1">
        <v>0.6</v>
      </c>
      <c r="I478" s="1" t="s">
        <v>36</v>
      </c>
      <c r="J478" s="1">
        <v>8</v>
      </c>
      <c r="K478" s="1">
        <v>8</v>
      </c>
      <c r="L478" s="1">
        <v>5</v>
      </c>
      <c r="M478" s="8">
        <v>0</v>
      </c>
    </row>
    <row r="479" spans="1:13" hidden="1" x14ac:dyDescent="0.25">
      <c r="A479" s="7">
        <v>13</v>
      </c>
      <c r="B479" s="1" t="s">
        <v>34</v>
      </c>
      <c r="C479" s="1">
        <v>2.2999999999999998</v>
      </c>
      <c r="D479" s="1" t="s">
        <v>38</v>
      </c>
      <c r="E479" s="1">
        <v>4.5</v>
      </c>
      <c r="F479" s="1">
        <v>0.7</v>
      </c>
      <c r="G479" s="1">
        <v>2.71</v>
      </c>
      <c r="H479" s="1">
        <v>0.2</v>
      </c>
      <c r="I479" s="1" t="s">
        <v>36</v>
      </c>
      <c r="J479" s="1">
        <v>6</v>
      </c>
      <c r="K479" s="1">
        <v>3</v>
      </c>
      <c r="L479" s="1">
        <v>7</v>
      </c>
      <c r="M479" s="8">
        <v>0</v>
      </c>
    </row>
    <row r="480" spans="1:13" hidden="1" x14ac:dyDescent="0.25">
      <c r="A480" s="7">
        <v>14</v>
      </c>
      <c r="B480" s="1" t="s">
        <v>34</v>
      </c>
      <c r="C480" s="1">
        <v>2.7</v>
      </c>
      <c r="D480" s="1" t="s">
        <v>41</v>
      </c>
      <c r="E480" s="1">
        <v>6.3</v>
      </c>
      <c r="F480" s="1">
        <v>0.6</v>
      </c>
      <c r="G480" s="1">
        <v>3.88</v>
      </c>
      <c r="H480" s="1">
        <v>0.3</v>
      </c>
      <c r="I480" s="1" t="s">
        <v>40</v>
      </c>
      <c r="J480" s="1">
        <v>6</v>
      </c>
      <c r="K480" s="1">
        <v>6</v>
      </c>
      <c r="L480" s="1">
        <v>6</v>
      </c>
      <c r="M480" s="8">
        <v>0</v>
      </c>
    </row>
    <row r="481" spans="1:13" hidden="1" x14ac:dyDescent="0.25">
      <c r="A481" s="7">
        <v>16</v>
      </c>
      <c r="B481" s="1" t="s">
        <v>34</v>
      </c>
      <c r="C481" s="1">
        <v>7.4</v>
      </c>
      <c r="D481" s="1" t="s">
        <v>38</v>
      </c>
      <c r="E481" s="1">
        <v>7.5</v>
      </c>
      <c r="F481" s="1">
        <v>1.7</v>
      </c>
      <c r="G481" s="1">
        <v>3.16</v>
      </c>
      <c r="H481" s="1">
        <v>1.8</v>
      </c>
      <c r="I481" s="1" t="s">
        <v>40</v>
      </c>
      <c r="J481" s="1">
        <v>2</v>
      </c>
      <c r="K481" s="1">
        <v>3</v>
      </c>
      <c r="L481" s="1">
        <v>2</v>
      </c>
      <c r="M481" s="8">
        <v>0</v>
      </c>
    </row>
    <row r="482" spans="1:13" hidden="1" x14ac:dyDescent="0.25">
      <c r="A482" s="7">
        <v>15</v>
      </c>
      <c r="B482" s="1" t="s">
        <v>34</v>
      </c>
      <c r="C482" s="1">
        <v>6.2</v>
      </c>
      <c r="D482" s="1" t="s">
        <v>38</v>
      </c>
      <c r="E482" s="1">
        <v>4.5999999999999996</v>
      </c>
      <c r="F482" s="1">
        <v>1.1000000000000001</v>
      </c>
      <c r="G482" s="1">
        <v>2.94</v>
      </c>
      <c r="H482" s="1">
        <v>1.8</v>
      </c>
      <c r="I482" s="1" t="s">
        <v>39</v>
      </c>
      <c r="J482" s="1">
        <v>4</v>
      </c>
      <c r="K482" s="1">
        <v>2</v>
      </c>
      <c r="L482" s="1">
        <v>3</v>
      </c>
      <c r="M482" s="8">
        <v>0</v>
      </c>
    </row>
    <row r="483" spans="1:13" hidden="1" x14ac:dyDescent="0.25">
      <c r="A483" s="7">
        <v>16</v>
      </c>
      <c r="B483" s="1" t="s">
        <v>34</v>
      </c>
      <c r="C483" s="1">
        <v>2.2999999999999998</v>
      </c>
      <c r="D483" s="1" t="s">
        <v>38</v>
      </c>
      <c r="E483" s="1">
        <v>8.8000000000000007</v>
      </c>
      <c r="F483" s="1">
        <v>1</v>
      </c>
      <c r="G483" s="1">
        <v>2.5099999999999998</v>
      </c>
      <c r="H483" s="1">
        <v>2</v>
      </c>
      <c r="I483" s="1" t="s">
        <v>40</v>
      </c>
      <c r="J483" s="1">
        <v>6</v>
      </c>
      <c r="K483" s="1">
        <v>10</v>
      </c>
      <c r="L483" s="1">
        <v>10</v>
      </c>
      <c r="M483" s="8">
        <v>0</v>
      </c>
    </row>
    <row r="484" spans="1:13" hidden="1" x14ac:dyDescent="0.25">
      <c r="A484" s="7">
        <v>18</v>
      </c>
      <c r="B484" s="1" t="s">
        <v>34</v>
      </c>
      <c r="C484" s="1">
        <v>1.8</v>
      </c>
      <c r="D484" s="1" t="s">
        <v>38</v>
      </c>
      <c r="E484" s="1">
        <v>5.2</v>
      </c>
      <c r="F484" s="1">
        <v>1.4</v>
      </c>
      <c r="G484" s="1">
        <v>2.68</v>
      </c>
      <c r="H484" s="1">
        <v>0.1</v>
      </c>
      <c r="I484" s="1" t="s">
        <v>39</v>
      </c>
      <c r="J484" s="1">
        <v>6</v>
      </c>
      <c r="K484" s="1">
        <v>2</v>
      </c>
      <c r="L484" s="1">
        <v>10</v>
      </c>
      <c r="M484" s="8">
        <v>0</v>
      </c>
    </row>
    <row r="485" spans="1:13" x14ac:dyDescent="0.25">
      <c r="A485" s="7">
        <v>16</v>
      </c>
      <c r="B485" s="1" t="s">
        <v>37</v>
      </c>
      <c r="C485" s="1">
        <v>1.3</v>
      </c>
      <c r="D485" s="1" t="s">
        <v>35</v>
      </c>
      <c r="E485" s="1">
        <v>4.9000000000000004</v>
      </c>
      <c r="F485" s="1">
        <v>2.6</v>
      </c>
      <c r="G485" s="1">
        <v>2.89</v>
      </c>
      <c r="H485" s="1">
        <v>0.2</v>
      </c>
      <c r="I485" s="1" t="s">
        <v>36</v>
      </c>
      <c r="J485" s="1">
        <v>2</v>
      </c>
      <c r="K485" s="1">
        <v>5</v>
      </c>
      <c r="L485" s="1">
        <v>2</v>
      </c>
      <c r="M485" s="8">
        <v>0</v>
      </c>
    </row>
    <row r="486" spans="1:13" hidden="1" x14ac:dyDescent="0.25">
      <c r="A486" s="7">
        <v>15</v>
      </c>
      <c r="B486" s="1" t="s">
        <v>34</v>
      </c>
      <c r="C486" s="1">
        <v>2.1</v>
      </c>
      <c r="D486" s="1" t="s">
        <v>35</v>
      </c>
      <c r="E486" s="1">
        <v>4.4000000000000004</v>
      </c>
      <c r="F486" s="1">
        <v>2.1</v>
      </c>
      <c r="G486" s="1">
        <v>3.43</v>
      </c>
      <c r="H486" s="1">
        <v>1.9</v>
      </c>
      <c r="I486" s="1" t="s">
        <v>36</v>
      </c>
      <c r="J486" s="1">
        <v>6</v>
      </c>
      <c r="K486" s="1">
        <v>6</v>
      </c>
      <c r="L486" s="1">
        <v>7</v>
      </c>
      <c r="M486" s="8">
        <v>0</v>
      </c>
    </row>
    <row r="487" spans="1:13" hidden="1" x14ac:dyDescent="0.25">
      <c r="A487" s="7">
        <v>14</v>
      </c>
      <c r="B487" s="1" t="s">
        <v>34</v>
      </c>
      <c r="C487" s="1">
        <v>3.9</v>
      </c>
      <c r="D487" s="1" t="s">
        <v>35</v>
      </c>
      <c r="E487" s="1">
        <v>7.7</v>
      </c>
      <c r="F487" s="1">
        <v>1.4</v>
      </c>
      <c r="G487" s="1">
        <v>2.86</v>
      </c>
      <c r="H487" s="1">
        <v>1.7</v>
      </c>
      <c r="I487" s="1" t="s">
        <v>39</v>
      </c>
      <c r="J487" s="1">
        <v>3</v>
      </c>
      <c r="K487" s="1">
        <v>5</v>
      </c>
      <c r="L487" s="1">
        <v>1</v>
      </c>
      <c r="M487" s="8">
        <v>0</v>
      </c>
    </row>
    <row r="488" spans="1:13" hidden="1" x14ac:dyDescent="0.25">
      <c r="A488" s="7">
        <v>18</v>
      </c>
      <c r="B488" s="1" t="s">
        <v>37</v>
      </c>
      <c r="C488" s="1">
        <v>3.8</v>
      </c>
      <c r="D488" s="1" t="s">
        <v>41</v>
      </c>
      <c r="E488" s="1">
        <v>4.5</v>
      </c>
      <c r="F488" s="1">
        <v>1.3</v>
      </c>
      <c r="G488" s="1">
        <v>3.06</v>
      </c>
      <c r="H488" s="1">
        <v>0.3</v>
      </c>
      <c r="I488" s="1" t="s">
        <v>40</v>
      </c>
      <c r="J488" s="1">
        <v>7</v>
      </c>
      <c r="K488" s="1">
        <v>8</v>
      </c>
      <c r="L488" s="1">
        <v>1</v>
      </c>
      <c r="M488" s="8">
        <v>0</v>
      </c>
    </row>
    <row r="489" spans="1:13" hidden="1" x14ac:dyDescent="0.25">
      <c r="A489" s="7">
        <v>15</v>
      </c>
      <c r="B489" s="1" t="s">
        <v>34</v>
      </c>
      <c r="C489" s="1">
        <v>6.4</v>
      </c>
      <c r="D489" s="1" t="s">
        <v>35</v>
      </c>
      <c r="E489" s="1">
        <v>7.8</v>
      </c>
      <c r="F489" s="1">
        <v>0.7</v>
      </c>
      <c r="G489" s="1">
        <v>2.6</v>
      </c>
      <c r="H489" s="1">
        <v>0.7</v>
      </c>
      <c r="I489" s="1" t="s">
        <v>39</v>
      </c>
      <c r="J489" s="1">
        <v>4</v>
      </c>
      <c r="K489" s="1">
        <v>4</v>
      </c>
      <c r="L489" s="1">
        <v>2</v>
      </c>
      <c r="M489" s="8">
        <v>0</v>
      </c>
    </row>
    <row r="490" spans="1:13" hidden="1" x14ac:dyDescent="0.25">
      <c r="A490" s="7">
        <v>19</v>
      </c>
      <c r="B490" s="1" t="s">
        <v>34</v>
      </c>
      <c r="C490" s="1">
        <v>3.2</v>
      </c>
      <c r="D490" s="1" t="s">
        <v>35</v>
      </c>
      <c r="E490" s="1">
        <v>6.2</v>
      </c>
      <c r="F490" s="1">
        <v>2.6</v>
      </c>
      <c r="G490" s="1">
        <v>3.72</v>
      </c>
      <c r="H490" s="1">
        <v>1.9</v>
      </c>
      <c r="I490" s="1" t="s">
        <v>39</v>
      </c>
      <c r="J490" s="1">
        <v>9</v>
      </c>
      <c r="K490" s="1">
        <v>5</v>
      </c>
      <c r="L490" s="1">
        <v>7</v>
      </c>
      <c r="M490" s="8">
        <v>0</v>
      </c>
    </row>
    <row r="491" spans="1:13" hidden="1" x14ac:dyDescent="0.25">
      <c r="A491" s="7">
        <v>13</v>
      </c>
      <c r="B491" s="1" t="s">
        <v>34</v>
      </c>
      <c r="C491" s="1">
        <v>4.4000000000000004</v>
      </c>
      <c r="D491" s="1" t="s">
        <v>41</v>
      </c>
      <c r="E491" s="1">
        <v>8.1999999999999993</v>
      </c>
      <c r="F491" s="1">
        <v>1.5</v>
      </c>
      <c r="G491" s="1">
        <v>3.98</v>
      </c>
      <c r="H491" s="1">
        <v>1.4</v>
      </c>
      <c r="I491" s="1" t="s">
        <v>39</v>
      </c>
      <c r="J491" s="1">
        <v>9</v>
      </c>
      <c r="K491" s="1">
        <v>6</v>
      </c>
      <c r="L491" s="1">
        <v>6</v>
      </c>
      <c r="M491" s="8">
        <v>0</v>
      </c>
    </row>
    <row r="492" spans="1:13" hidden="1" x14ac:dyDescent="0.25">
      <c r="A492" s="7">
        <v>15</v>
      </c>
      <c r="B492" s="1" t="s">
        <v>34</v>
      </c>
      <c r="C492" s="1">
        <v>1.3</v>
      </c>
      <c r="D492" s="1" t="s">
        <v>38</v>
      </c>
      <c r="E492" s="1">
        <v>7.5</v>
      </c>
      <c r="F492" s="1">
        <v>1.3</v>
      </c>
      <c r="G492" s="1">
        <v>2.99</v>
      </c>
      <c r="H492" s="1">
        <v>1.4</v>
      </c>
      <c r="I492" s="1" t="s">
        <v>36</v>
      </c>
      <c r="J492" s="1">
        <v>1</v>
      </c>
      <c r="K492" s="1">
        <v>5</v>
      </c>
      <c r="L492" s="1">
        <v>2</v>
      </c>
      <c r="M492" s="8">
        <v>0</v>
      </c>
    </row>
    <row r="493" spans="1:13" hidden="1" x14ac:dyDescent="0.25">
      <c r="A493" s="7">
        <v>18</v>
      </c>
      <c r="B493" s="1" t="s">
        <v>37</v>
      </c>
      <c r="C493" s="1">
        <v>5.7</v>
      </c>
      <c r="D493" s="1" t="s">
        <v>38</v>
      </c>
      <c r="E493" s="1">
        <v>6.2</v>
      </c>
      <c r="F493" s="1">
        <v>0.5</v>
      </c>
      <c r="G493" s="1">
        <v>3.98</v>
      </c>
      <c r="H493" s="1">
        <v>1.7</v>
      </c>
      <c r="I493" s="1" t="s">
        <v>40</v>
      </c>
      <c r="J493" s="1">
        <v>7</v>
      </c>
      <c r="K493" s="1">
        <v>6</v>
      </c>
      <c r="L493" s="1">
        <v>3</v>
      </c>
      <c r="M493" s="8">
        <v>0</v>
      </c>
    </row>
    <row r="494" spans="1:13" hidden="1" x14ac:dyDescent="0.25">
      <c r="A494" s="7">
        <v>13</v>
      </c>
      <c r="B494" s="1" t="s">
        <v>34</v>
      </c>
      <c r="C494" s="1">
        <v>4</v>
      </c>
      <c r="D494" s="1" t="s">
        <v>38</v>
      </c>
      <c r="E494" s="1">
        <v>5</v>
      </c>
      <c r="F494" s="1">
        <v>2.9</v>
      </c>
      <c r="G494" s="1">
        <v>3.84</v>
      </c>
      <c r="H494" s="1">
        <v>0.1</v>
      </c>
      <c r="I494" s="1" t="s">
        <v>36</v>
      </c>
      <c r="J494" s="1">
        <v>7</v>
      </c>
      <c r="K494" s="1">
        <v>8</v>
      </c>
      <c r="L494" s="1">
        <v>10</v>
      </c>
      <c r="M494" s="8">
        <v>0</v>
      </c>
    </row>
    <row r="495" spans="1:13" x14ac:dyDescent="0.25">
      <c r="A495" s="7">
        <v>16</v>
      </c>
      <c r="B495" s="1" t="s">
        <v>37</v>
      </c>
      <c r="C495" s="1">
        <v>4.8</v>
      </c>
      <c r="D495" s="1" t="s">
        <v>35</v>
      </c>
      <c r="E495" s="1">
        <v>6.7</v>
      </c>
      <c r="F495" s="1">
        <v>1.4</v>
      </c>
      <c r="G495" s="1">
        <v>2.44</v>
      </c>
      <c r="H495" s="1">
        <v>0.3</v>
      </c>
      <c r="I495" s="1" t="s">
        <v>36</v>
      </c>
      <c r="J495" s="1">
        <v>1</v>
      </c>
      <c r="K495" s="1">
        <v>3</v>
      </c>
      <c r="L495" s="1">
        <v>1</v>
      </c>
      <c r="M495" s="8">
        <v>0</v>
      </c>
    </row>
    <row r="496" spans="1:13" hidden="1" x14ac:dyDescent="0.25">
      <c r="A496" s="7">
        <v>19</v>
      </c>
      <c r="B496" s="1" t="s">
        <v>34</v>
      </c>
      <c r="C496" s="1">
        <v>5.8</v>
      </c>
      <c r="D496" s="1" t="s">
        <v>41</v>
      </c>
      <c r="E496" s="1">
        <v>7.5</v>
      </c>
      <c r="F496" s="1">
        <v>1.9</v>
      </c>
      <c r="G496" s="1">
        <v>2.08</v>
      </c>
      <c r="H496" s="1">
        <v>0.1</v>
      </c>
      <c r="I496" s="1" t="s">
        <v>39</v>
      </c>
      <c r="J496" s="1">
        <v>2</v>
      </c>
      <c r="K496" s="1">
        <v>1</v>
      </c>
      <c r="L496" s="1">
        <v>3</v>
      </c>
      <c r="M496" s="8">
        <v>0</v>
      </c>
    </row>
    <row r="497" spans="1:13" hidden="1" x14ac:dyDescent="0.25">
      <c r="A497" s="7">
        <v>16</v>
      </c>
      <c r="B497" s="1" t="s">
        <v>34</v>
      </c>
      <c r="C497" s="1">
        <v>5.8</v>
      </c>
      <c r="D497" s="1" t="s">
        <v>41</v>
      </c>
      <c r="E497" s="1">
        <v>8.9</v>
      </c>
      <c r="F497" s="1">
        <v>1.1000000000000001</v>
      </c>
      <c r="G497" s="1">
        <v>2.08</v>
      </c>
      <c r="H497" s="1">
        <v>1.9</v>
      </c>
      <c r="I497" s="1" t="s">
        <v>40</v>
      </c>
      <c r="J497" s="1">
        <v>8</v>
      </c>
      <c r="K497" s="1">
        <v>5</v>
      </c>
      <c r="L497" s="1">
        <v>9</v>
      </c>
      <c r="M497" s="8">
        <v>0</v>
      </c>
    </row>
    <row r="498" spans="1:13" hidden="1" x14ac:dyDescent="0.25">
      <c r="A498" s="7">
        <v>13</v>
      </c>
      <c r="B498" s="1" t="s">
        <v>34</v>
      </c>
      <c r="C498" s="1">
        <v>3.2</v>
      </c>
      <c r="D498" s="1" t="s">
        <v>38</v>
      </c>
      <c r="E498" s="1">
        <v>5.0999999999999996</v>
      </c>
      <c r="F498" s="1">
        <v>1.6</v>
      </c>
      <c r="G498" s="1">
        <v>2.87</v>
      </c>
      <c r="H498" s="1">
        <v>1.8</v>
      </c>
      <c r="I498" s="1" t="s">
        <v>40</v>
      </c>
      <c r="J498" s="1">
        <v>4</v>
      </c>
      <c r="K498" s="1">
        <v>9</v>
      </c>
      <c r="L498" s="1">
        <v>8</v>
      </c>
      <c r="M498" s="8">
        <v>0</v>
      </c>
    </row>
    <row r="499" spans="1:13" hidden="1" x14ac:dyDescent="0.25">
      <c r="A499" s="7">
        <v>16</v>
      </c>
      <c r="B499" s="1" t="s">
        <v>37</v>
      </c>
      <c r="C499" s="1">
        <v>5.2</v>
      </c>
      <c r="D499" s="1" t="s">
        <v>41</v>
      </c>
      <c r="E499" s="1">
        <v>4</v>
      </c>
      <c r="F499" s="1">
        <v>2.4</v>
      </c>
      <c r="G499" s="1">
        <v>2.35</v>
      </c>
      <c r="H499" s="1">
        <v>1.6</v>
      </c>
      <c r="I499" s="1" t="s">
        <v>36</v>
      </c>
      <c r="J499" s="1">
        <v>10</v>
      </c>
      <c r="K499" s="1">
        <v>5</v>
      </c>
      <c r="L499" s="1">
        <v>2</v>
      </c>
      <c r="M499" s="8">
        <v>0</v>
      </c>
    </row>
    <row r="500" spans="1:13" hidden="1" x14ac:dyDescent="0.25">
      <c r="A500" s="7">
        <v>17</v>
      </c>
      <c r="B500" s="1" t="s">
        <v>34</v>
      </c>
      <c r="C500" s="1">
        <v>2.4</v>
      </c>
      <c r="D500" s="1" t="s">
        <v>38</v>
      </c>
      <c r="E500" s="1">
        <v>6</v>
      </c>
      <c r="F500" s="1">
        <v>0.7</v>
      </c>
      <c r="G500" s="1">
        <v>3.67</v>
      </c>
      <c r="H500" s="1">
        <v>1.5</v>
      </c>
      <c r="I500" s="1" t="s">
        <v>36</v>
      </c>
      <c r="J500" s="1">
        <v>7</v>
      </c>
      <c r="K500" s="1">
        <v>9</v>
      </c>
      <c r="L500" s="1">
        <v>2</v>
      </c>
      <c r="M500" s="8">
        <v>0</v>
      </c>
    </row>
    <row r="501" spans="1:13" hidden="1" x14ac:dyDescent="0.25">
      <c r="A501" s="7">
        <v>15</v>
      </c>
      <c r="B501" s="1" t="s">
        <v>34</v>
      </c>
      <c r="C501" s="1">
        <v>7.4</v>
      </c>
      <c r="D501" s="1" t="s">
        <v>41</v>
      </c>
      <c r="E501" s="1">
        <v>5.9</v>
      </c>
      <c r="F501" s="1">
        <v>2.6</v>
      </c>
      <c r="G501" s="1">
        <v>2.89</v>
      </c>
      <c r="H501" s="1">
        <v>1.9</v>
      </c>
      <c r="I501" s="1" t="s">
        <v>40</v>
      </c>
      <c r="J501" s="1">
        <v>7</v>
      </c>
      <c r="K501" s="1">
        <v>3</v>
      </c>
      <c r="L501" s="1">
        <v>8</v>
      </c>
      <c r="M501" s="8">
        <v>0</v>
      </c>
    </row>
    <row r="502" spans="1:13" x14ac:dyDescent="0.25">
      <c r="A502" s="7">
        <v>18</v>
      </c>
      <c r="B502" s="1" t="s">
        <v>37</v>
      </c>
      <c r="C502" s="1">
        <v>7.1</v>
      </c>
      <c r="D502" s="1" t="s">
        <v>35</v>
      </c>
      <c r="E502" s="1">
        <v>4.8</v>
      </c>
      <c r="F502" s="1">
        <v>2.1</v>
      </c>
      <c r="G502" s="1">
        <v>2.5099999999999998</v>
      </c>
      <c r="H502" s="1">
        <v>0.9</v>
      </c>
      <c r="I502" s="1" t="s">
        <v>39</v>
      </c>
      <c r="J502" s="1">
        <v>1</v>
      </c>
      <c r="K502" s="1">
        <v>1</v>
      </c>
      <c r="L502" s="1">
        <v>10</v>
      </c>
      <c r="M502" s="8">
        <v>0</v>
      </c>
    </row>
    <row r="503" spans="1:13" hidden="1" x14ac:dyDescent="0.25">
      <c r="A503" s="7">
        <v>16</v>
      </c>
      <c r="B503" s="1" t="s">
        <v>34</v>
      </c>
      <c r="C503" s="1">
        <v>6.5</v>
      </c>
      <c r="D503" s="1" t="s">
        <v>38</v>
      </c>
      <c r="E503" s="1">
        <v>7.4</v>
      </c>
      <c r="F503" s="1">
        <v>1.9</v>
      </c>
      <c r="G503" s="1">
        <v>2.2200000000000002</v>
      </c>
      <c r="H503" s="1">
        <v>1.1000000000000001</v>
      </c>
      <c r="I503" s="1" t="s">
        <v>40</v>
      </c>
      <c r="J503" s="1">
        <v>10</v>
      </c>
      <c r="K503" s="1">
        <v>10</v>
      </c>
      <c r="L503" s="1">
        <v>2</v>
      </c>
      <c r="M503" s="8">
        <v>0</v>
      </c>
    </row>
    <row r="504" spans="1:13" hidden="1" x14ac:dyDescent="0.25">
      <c r="A504" s="7">
        <v>13</v>
      </c>
      <c r="B504" s="1" t="s">
        <v>34</v>
      </c>
      <c r="C504" s="1">
        <v>7.4</v>
      </c>
      <c r="D504" s="1" t="s">
        <v>41</v>
      </c>
      <c r="E504" s="1">
        <v>7</v>
      </c>
      <c r="F504" s="1">
        <v>1.8</v>
      </c>
      <c r="G504" s="1">
        <v>2.17</v>
      </c>
      <c r="H504" s="1">
        <v>1.4</v>
      </c>
      <c r="I504" s="1" t="s">
        <v>40</v>
      </c>
      <c r="J504" s="1">
        <v>9</v>
      </c>
      <c r="K504" s="1">
        <v>10</v>
      </c>
      <c r="L504" s="1">
        <v>5</v>
      </c>
      <c r="M504" s="8">
        <v>0</v>
      </c>
    </row>
    <row r="505" spans="1:13" x14ac:dyDescent="0.25">
      <c r="A505" s="7">
        <v>15</v>
      </c>
      <c r="B505" s="1" t="s">
        <v>37</v>
      </c>
      <c r="C505" s="1">
        <v>3.9</v>
      </c>
      <c r="D505" s="1" t="s">
        <v>35</v>
      </c>
      <c r="E505" s="1">
        <v>6.4</v>
      </c>
      <c r="F505" s="1">
        <v>1.7</v>
      </c>
      <c r="G505" s="1">
        <v>2.87</v>
      </c>
      <c r="H505" s="1">
        <v>1.8</v>
      </c>
      <c r="I505" s="1" t="s">
        <v>39</v>
      </c>
      <c r="J505" s="1">
        <v>6</v>
      </c>
      <c r="K505" s="1">
        <v>6</v>
      </c>
      <c r="L505" s="1">
        <v>6</v>
      </c>
      <c r="M505" s="8">
        <v>0</v>
      </c>
    </row>
    <row r="506" spans="1:13" hidden="1" x14ac:dyDescent="0.25">
      <c r="A506" s="7">
        <v>15</v>
      </c>
      <c r="B506" s="1" t="s">
        <v>37</v>
      </c>
      <c r="C506" s="1">
        <v>4.5999999999999996</v>
      </c>
      <c r="D506" s="1" t="s">
        <v>41</v>
      </c>
      <c r="E506" s="1">
        <v>8.6</v>
      </c>
      <c r="F506" s="1">
        <v>2</v>
      </c>
      <c r="G506" s="1">
        <v>3.01</v>
      </c>
      <c r="H506" s="1">
        <v>0</v>
      </c>
      <c r="I506" s="1" t="s">
        <v>36</v>
      </c>
      <c r="J506" s="1">
        <v>1</v>
      </c>
      <c r="K506" s="1">
        <v>8</v>
      </c>
      <c r="L506" s="1">
        <v>3</v>
      </c>
      <c r="M506" s="8">
        <v>0</v>
      </c>
    </row>
    <row r="507" spans="1:13" hidden="1" x14ac:dyDescent="0.25">
      <c r="A507" s="7">
        <v>19</v>
      </c>
      <c r="B507" s="1" t="s">
        <v>34</v>
      </c>
      <c r="C507" s="1">
        <v>1.5</v>
      </c>
      <c r="D507" s="1" t="s">
        <v>38</v>
      </c>
      <c r="E507" s="1">
        <v>6.7</v>
      </c>
      <c r="F507" s="1">
        <v>1</v>
      </c>
      <c r="G507" s="1">
        <v>3.9</v>
      </c>
      <c r="H507" s="1">
        <v>0.4</v>
      </c>
      <c r="I507" s="1" t="s">
        <v>36</v>
      </c>
      <c r="J507" s="1">
        <v>4</v>
      </c>
      <c r="K507" s="1">
        <v>3</v>
      </c>
      <c r="L507" s="1">
        <v>3</v>
      </c>
      <c r="M507" s="8">
        <v>0</v>
      </c>
    </row>
    <row r="508" spans="1:13" x14ac:dyDescent="0.25">
      <c r="A508" s="7">
        <v>15</v>
      </c>
      <c r="B508" s="1" t="s">
        <v>37</v>
      </c>
      <c r="C508" s="1">
        <v>5.8</v>
      </c>
      <c r="D508" s="1" t="s">
        <v>35</v>
      </c>
      <c r="E508" s="1">
        <v>7.1</v>
      </c>
      <c r="F508" s="1">
        <v>1.1000000000000001</v>
      </c>
      <c r="G508" s="1">
        <v>3.72</v>
      </c>
      <c r="H508" s="1">
        <v>1.5</v>
      </c>
      <c r="I508" s="1" t="s">
        <v>36</v>
      </c>
      <c r="J508" s="1">
        <v>9</v>
      </c>
      <c r="K508" s="1">
        <v>6</v>
      </c>
      <c r="L508" s="1">
        <v>6</v>
      </c>
      <c r="M508" s="8">
        <v>0</v>
      </c>
    </row>
    <row r="509" spans="1:13" hidden="1" x14ac:dyDescent="0.25">
      <c r="A509" s="7">
        <v>17</v>
      </c>
      <c r="B509" s="1" t="s">
        <v>37</v>
      </c>
      <c r="C509" s="1">
        <v>6.4</v>
      </c>
      <c r="D509" s="1" t="s">
        <v>38</v>
      </c>
      <c r="E509" s="1">
        <v>4.9000000000000004</v>
      </c>
      <c r="F509" s="1">
        <v>2.1</v>
      </c>
      <c r="G509" s="1">
        <v>2.78</v>
      </c>
      <c r="H509" s="1">
        <v>1</v>
      </c>
      <c r="I509" s="1" t="s">
        <v>39</v>
      </c>
      <c r="J509" s="1">
        <v>2</v>
      </c>
      <c r="K509" s="1">
        <v>2</v>
      </c>
      <c r="L509" s="1">
        <v>6</v>
      </c>
      <c r="M509" s="8">
        <v>0</v>
      </c>
    </row>
    <row r="510" spans="1:13" hidden="1" x14ac:dyDescent="0.25">
      <c r="A510" s="7">
        <v>16</v>
      </c>
      <c r="B510" s="1" t="s">
        <v>37</v>
      </c>
      <c r="C510" s="1">
        <v>2.1</v>
      </c>
      <c r="D510" s="1" t="s">
        <v>38</v>
      </c>
      <c r="E510" s="1">
        <v>8.1999999999999993</v>
      </c>
      <c r="F510" s="1">
        <v>2.4</v>
      </c>
      <c r="G510" s="1">
        <v>3.25</v>
      </c>
      <c r="H510" s="1">
        <v>0.1</v>
      </c>
      <c r="I510" s="1" t="s">
        <v>39</v>
      </c>
      <c r="J510" s="1">
        <v>1</v>
      </c>
      <c r="K510" s="1">
        <v>1</v>
      </c>
      <c r="L510" s="1">
        <v>8</v>
      </c>
      <c r="M510" s="8">
        <v>0</v>
      </c>
    </row>
    <row r="511" spans="1:13" hidden="1" x14ac:dyDescent="0.25">
      <c r="A511" s="7">
        <v>17</v>
      </c>
      <c r="B511" s="1" t="s">
        <v>37</v>
      </c>
      <c r="C511" s="1">
        <v>2.2000000000000002</v>
      </c>
      <c r="D511" s="1" t="s">
        <v>38</v>
      </c>
      <c r="E511" s="1">
        <v>6.5</v>
      </c>
      <c r="F511" s="1">
        <v>3</v>
      </c>
      <c r="G511" s="1">
        <v>2.4900000000000002</v>
      </c>
      <c r="H511" s="1">
        <v>0.2</v>
      </c>
      <c r="I511" s="1" t="s">
        <v>40</v>
      </c>
      <c r="J511" s="1">
        <v>5</v>
      </c>
      <c r="K511" s="1">
        <v>8</v>
      </c>
      <c r="L511" s="1">
        <v>4</v>
      </c>
      <c r="M511" s="8">
        <v>0</v>
      </c>
    </row>
    <row r="512" spans="1:13" hidden="1" x14ac:dyDescent="0.25">
      <c r="A512" s="7">
        <v>14</v>
      </c>
      <c r="B512" s="1" t="s">
        <v>34</v>
      </c>
      <c r="C512" s="1">
        <v>5.5</v>
      </c>
      <c r="D512" s="1" t="s">
        <v>38</v>
      </c>
      <c r="E512" s="1">
        <v>7.4</v>
      </c>
      <c r="F512" s="1">
        <v>2.9</v>
      </c>
      <c r="G512" s="1">
        <v>3.54</v>
      </c>
      <c r="H512" s="1">
        <v>1.1000000000000001</v>
      </c>
      <c r="I512" s="1" t="s">
        <v>39</v>
      </c>
      <c r="J512" s="1">
        <v>8</v>
      </c>
      <c r="K512" s="1">
        <v>4</v>
      </c>
      <c r="L512" s="1">
        <v>10</v>
      </c>
      <c r="M512" s="8">
        <v>0</v>
      </c>
    </row>
    <row r="513" spans="1:13" hidden="1" x14ac:dyDescent="0.25">
      <c r="A513" s="7">
        <v>17</v>
      </c>
      <c r="B513" s="1" t="s">
        <v>37</v>
      </c>
      <c r="C513" s="1">
        <v>6.6</v>
      </c>
      <c r="D513" s="1" t="s">
        <v>41</v>
      </c>
      <c r="E513" s="1">
        <v>7.4</v>
      </c>
      <c r="F513" s="1">
        <v>2.2000000000000002</v>
      </c>
      <c r="G513" s="1">
        <v>2.63</v>
      </c>
      <c r="H513" s="1">
        <v>0.6</v>
      </c>
      <c r="I513" s="1" t="s">
        <v>39</v>
      </c>
      <c r="J513" s="1">
        <v>7</v>
      </c>
      <c r="K513" s="1">
        <v>4</v>
      </c>
      <c r="L513" s="1">
        <v>9</v>
      </c>
      <c r="M513" s="8">
        <v>0</v>
      </c>
    </row>
    <row r="514" spans="1:13" x14ac:dyDescent="0.25">
      <c r="A514" s="7">
        <v>19</v>
      </c>
      <c r="B514" s="1" t="s">
        <v>37</v>
      </c>
      <c r="C514" s="1">
        <v>5.2</v>
      </c>
      <c r="D514" s="1" t="s">
        <v>35</v>
      </c>
      <c r="E514" s="1">
        <v>6.6</v>
      </c>
      <c r="F514" s="1">
        <v>1.6</v>
      </c>
      <c r="G514" s="1">
        <v>2.36</v>
      </c>
      <c r="H514" s="1">
        <v>1.4</v>
      </c>
      <c r="I514" s="1" t="s">
        <v>36</v>
      </c>
      <c r="J514" s="1">
        <v>2</v>
      </c>
      <c r="K514" s="1">
        <v>6</v>
      </c>
      <c r="L514" s="1">
        <v>10</v>
      </c>
      <c r="M514" s="8">
        <v>0</v>
      </c>
    </row>
    <row r="515" spans="1:13" hidden="1" x14ac:dyDescent="0.25">
      <c r="A515" s="7">
        <v>17</v>
      </c>
      <c r="B515" s="1" t="s">
        <v>34</v>
      </c>
      <c r="C515" s="1">
        <v>4.7</v>
      </c>
      <c r="D515" s="1" t="s">
        <v>38</v>
      </c>
      <c r="E515" s="1">
        <v>5.0999999999999996</v>
      </c>
      <c r="F515" s="1">
        <v>2</v>
      </c>
      <c r="G515" s="1">
        <v>2.35</v>
      </c>
      <c r="H515" s="1">
        <v>1.8</v>
      </c>
      <c r="I515" s="1" t="s">
        <v>36</v>
      </c>
      <c r="J515" s="1">
        <v>8</v>
      </c>
      <c r="K515" s="1">
        <v>9</v>
      </c>
      <c r="L515" s="1">
        <v>1</v>
      </c>
      <c r="M515" s="8">
        <v>0</v>
      </c>
    </row>
    <row r="516" spans="1:13" hidden="1" x14ac:dyDescent="0.25">
      <c r="A516" s="7">
        <v>19</v>
      </c>
      <c r="B516" s="1" t="s">
        <v>37</v>
      </c>
      <c r="C516" s="1">
        <v>7.1</v>
      </c>
      <c r="D516" s="1" t="s">
        <v>41</v>
      </c>
      <c r="E516" s="1">
        <v>6.3</v>
      </c>
      <c r="F516" s="1">
        <v>2.2000000000000002</v>
      </c>
      <c r="G516" s="1">
        <v>3.88</v>
      </c>
      <c r="H516" s="1">
        <v>0.8</v>
      </c>
      <c r="I516" s="1" t="s">
        <v>39</v>
      </c>
      <c r="J516" s="1">
        <v>10</v>
      </c>
      <c r="K516" s="1">
        <v>4</v>
      </c>
      <c r="L516" s="1">
        <v>9</v>
      </c>
      <c r="M516" s="8">
        <v>0</v>
      </c>
    </row>
    <row r="517" spans="1:13" hidden="1" x14ac:dyDescent="0.25">
      <c r="A517" s="7">
        <v>19</v>
      </c>
      <c r="B517" s="1" t="s">
        <v>37</v>
      </c>
      <c r="C517" s="1">
        <v>4.2</v>
      </c>
      <c r="D517" s="1" t="s">
        <v>41</v>
      </c>
      <c r="E517" s="1">
        <v>8.1</v>
      </c>
      <c r="F517" s="1">
        <v>1.4</v>
      </c>
      <c r="G517" s="1">
        <v>2.66</v>
      </c>
      <c r="H517" s="1">
        <v>1.9</v>
      </c>
      <c r="I517" s="1" t="s">
        <v>36</v>
      </c>
      <c r="J517" s="1">
        <v>9</v>
      </c>
      <c r="K517" s="1">
        <v>4</v>
      </c>
      <c r="L517" s="1">
        <v>2</v>
      </c>
      <c r="M517" s="8">
        <v>0</v>
      </c>
    </row>
    <row r="518" spans="1:13" x14ac:dyDescent="0.25">
      <c r="A518" s="7">
        <v>17</v>
      </c>
      <c r="B518" s="1" t="s">
        <v>37</v>
      </c>
      <c r="C518" s="1">
        <v>1.3</v>
      </c>
      <c r="D518" s="1" t="s">
        <v>35</v>
      </c>
      <c r="E518" s="1">
        <v>5.0999999999999996</v>
      </c>
      <c r="F518" s="1">
        <v>2.2000000000000002</v>
      </c>
      <c r="G518" s="1">
        <v>3.44</v>
      </c>
      <c r="H518" s="1">
        <v>0.6</v>
      </c>
      <c r="I518" s="1" t="s">
        <v>39</v>
      </c>
      <c r="J518" s="1">
        <v>7</v>
      </c>
      <c r="K518" s="1">
        <v>8</v>
      </c>
      <c r="L518" s="1">
        <v>6</v>
      </c>
      <c r="M518" s="8">
        <v>0</v>
      </c>
    </row>
    <row r="519" spans="1:13" hidden="1" x14ac:dyDescent="0.25">
      <c r="A519" s="7">
        <v>18</v>
      </c>
      <c r="B519" s="1" t="s">
        <v>34</v>
      </c>
      <c r="C519" s="1">
        <v>2.6</v>
      </c>
      <c r="D519" s="1" t="s">
        <v>41</v>
      </c>
      <c r="E519" s="1">
        <v>7.8</v>
      </c>
      <c r="F519" s="1">
        <v>1.9</v>
      </c>
      <c r="G519" s="1">
        <v>3.15</v>
      </c>
      <c r="H519" s="1">
        <v>0.4</v>
      </c>
      <c r="I519" s="1" t="s">
        <v>40</v>
      </c>
      <c r="J519" s="1">
        <v>8</v>
      </c>
      <c r="K519" s="1">
        <v>3</v>
      </c>
      <c r="L519" s="1">
        <v>2</v>
      </c>
      <c r="M519" s="8">
        <v>0</v>
      </c>
    </row>
    <row r="520" spans="1:13" hidden="1" x14ac:dyDescent="0.25">
      <c r="A520" s="7">
        <v>15</v>
      </c>
      <c r="B520" s="1" t="s">
        <v>34</v>
      </c>
      <c r="C520" s="1">
        <v>6.2</v>
      </c>
      <c r="D520" s="1" t="s">
        <v>35</v>
      </c>
      <c r="E520" s="1">
        <v>8.1</v>
      </c>
      <c r="F520" s="1">
        <v>2.2999999999999998</v>
      </c>
      <c r="G520" s="1">
        <v>3.46</v>
      </c>
      <c r="H520" s="1">
        <v>1.3</v>
      </c>
      <c r="I520" s="1" t="s">
        <v>36</v>
      </c>
      <c r="J520" s="1">
        <v>5</v>
      </c>
      <c r="K520" s="1">
        <v>4</v>
      </c>
      <c r="L520" s="1">
        <v>9</v>
      </c>
      <c r="M520" s="8">
        <v>0</v>
      </c>
    </row>
    <row r="521" spans="1:13" hidden="1" x14ac:dyDescent="0.25">
      <c r="A521" s="7">
        <v>14</v>
      </c>
      <c r="B521" s="1" t="s">
        <v>37</v>
      </c>
      <c r="C521" s="1">
        <v>6.2</v>
      </c>
      <c r="D521" s="1" t="s">
        <v>38</v>
      </c>
      <c r="E521" s="1">
        <v>5.0999999999999996</v>
      </c>
      <c r="F521" s="1">
        <v>1.5</v>
      </c>
      <c r="G521" s="1">
        <v>3.85</v>
      </c>
      <c r="H521" s="1">
        <v>0.2</v>
      </c>
      <c r="I521" s="1" t="s">
        <v>39</v>
      </c>
      <c r="J521" s="1">
        <v>3</v>
      </c>
      <c r="K521" s="1">
        <v>4</v>
      </c>
      <c r="L521" s="1">
        <v>10</v>
      </c>
      <c r="M521" s="8">
        <v>0</v>
      </c>
    </row>
    <row r="522" spans="1:13" hidden="1" x14ac:dyDescent="0.25">
      <c r="A522" s="7">
        <v>18</v>
      </c>
      <c r="B522" s="1" t="s">
        <v>34</v>
      </c>
      <c r="C522" s="1">
        <v>4.8</v>
      </c>
      <c r="D522" s="1" t="s">
        <v>38</v>
      </c>
      <c r="E522" s="1">
        <v>8.5</v>
      </c>
      <c r="F522" s="1">
        <v>2.8</v>
      </c>
      <c r="G522" s="1">
        <v>3.77</v>
      </c>
      <c r="H522" s="1">
        <v>1.3</v>
      </c>
      <c r="I522" s="1" t="s">
        <v>36</v>
      </c>
      <c r="J522" s="1">
        <v>5</v>
      </c>
      <c r="K522" s="1">
        <v>4</v>
      </c>
      <c r="L522" s="1">
        <v>3</v>
      </c>
      <c r="M522" s="8">
        <v>0</v>
      </c>
    </row>
    <row r="523" spans="1:13" hidden="1" x14ac:dyDescent="0.25">
      <c r="A523" s="7">
        <v>18</v>
      </c>
      <c r="B523" s="1" t="s">
        <v>37</v>
      </c>
      <c r="C523" s="1">
        <v>3</v>
      </c>
      <c r="D523" s="1" t="s">
        <v>41</v>
      </c>
      <c r="E523" s="1">
        <v>4.5999999999999996</v>
      </c>
      <c r="F523" s="1">
        <v>2</v>
      </c>
      <c r="G523" s="1">
        <v>2.2400000000000002</v>
      </c>
      <c r="H523" s="1">
        <v>1.5</v>
      </c>
      <c r="I523" s="1" t="s">
        <v>40</v>
      </c>
      <c r="J523" s="1">
        <v>10</v>
      </c>
      <c r="K523" s="1">
        <v>2</v>
      </c>
      <c r="L523" s="1">
        <v>5</v>
      </c>
      <c r="M523" s="8">
        <v>0</v>
      </c>
    </row>
    <row r="524" spans="1:13" hidden="1" x14ac:dyDescent="0.25">
      <c r="A524" s="7">
        <v>16</v>
      </c>
      <c r="B524" s="1" t="s">
        <v>34</v>
      </c>
      <c r="C524" s="1">
        <v>4.7</v>
      </c>
      <c r="D524" s="1" t="s">
        <v>35</v>
      </c>
      <c r="E524" s="1">
        <v>8.1999999999999993</v>
      </c>
      <c r="F524" s="1">
        <v>2.7</v>
      </c>
      <c r="G524" s="1">
        <v>3.04</v>
      </c>
      <c r="H524" s="1">
        <v>0.3</v>
      </c>
      <c r="I524" s="1" t="s">
        <v>39</v>
      </c>
      <c r="J524" s="1">
        <v>1</v>
      </c>
      <c r="K524" s="1">
        <v>3</v>
      </c>
      <c r="L524" s="1">
        <v>4</v>
      </c>
      <c r="M524" s="8">
        <v>0</v>
      </c>
    </row>
    <row r="525" spans="1:13" hidden="1" x14ac:dyDescent="0.25">
      <c r="A525" s="7">
        <v>18</v>
      </c>
      <c r="B525" s="1" t="s">
        <v>37</v>
      </c>
      <c r="C525" s="1">
        <v>4.4000000000000004</v>
      </c>
      <c r="D525" s="1" t="s">
        <v>41</v>
      </c>
      <c r="E525" s="1">
        <v>5.0999999999999996</v>
      </c>
      <c r="F525" s="1">
        <v>1.4</v>
      </c>
      <c r="G525" s="1">
        <v>2.33</v>
      </c>
      <c r="H525" s="1">
        <v>0.6</v>
      </c>
      <c r="I525" s="1" t="s">
        <v>36</v>
      </c>
      <c r="J525" s="1">
        <v>2</v>
      </c>
      <c r="K525" s="1">
        <v>7</v>
      </c>
      <c r="L525" s="1">
        <v>4</v>
      </c>
      <c r="M525" s="8">
        <v>0</v>
      </c>
    </row>
    <row r="526" spans="1:13" hidden="1" x14ac:dyDescent="0.25">
      <c r="A526" s="7">
        <v>14</v>
      </c>
      <c r="B526" s="1" t="s">
        <v>37</v>
      </c>
      <c r="C526" s="1">
        <v>2.2999999999999998</v>
      </c>
      <c r="D526" s="1" t="s">
        <v>38</v>
      </c>
      <c r="E526" s="1">
        <v>7.3</v>
      </c>
      <c r="F526" s="1">
        <v>2.2999999999999998</v>
      </c>
      <c r="G526" s="1">
        <v>2.8</v>
      </c>
      <c r="H526" s="1">
        <v>1.5</v>
      </c>
      <c r="I526" s="1" t="s">
        <v>40</v>
      </c>
      <c r="J526" s="1">
        <v>4</v>
      </c>
      <c r="K526" s="1">
        <v>6</v>
      </c>
      <c r="L526" s="1">
        <v>5</v>
      </c>
      <c r="M526" s="8">
        <v>0</v>
      </c>
    </row>
    <row r="527" spans="1:13" x14ac:dyDescent="0.25">
      <c r="A527" s="7">
        <v>14</v>
      </c>
      <c r="B527" s="1" t="s">
        <v>37</v>
      </c>
      <c r="C527" s="1">
        <v>3.1</v>
      </c>
      <c r="D527" s="1" t="s">
        <v>35</v>
      </c>
      <c r="E527" s="1">
        <v>6.9</v>
      </c>
      <c r="F527" s="1">
        <v>1.9</v>
      </c>
      <c r="G527" s="1">
        <v>2.2000000000000002</v>
      </c>
      <c r="H527" s="1">
        <v>1.2</v>
      </c>
      <c r="I527" s="1" t="s">
        <v>40</v>
      </c>
      <c r="J527" s="1">
        <v>3</v>
      </c>
      <c r="K527" s="1">
        <v>4</v>
      </c>
      <c r="L527" s="1">
        <v>2</v>
      </c>
      <c r="M527" s="8">
        <v>0</v>
      </c>
    </row>
    <row r="528" spans="1:13" hidden="1" x14ac:dyDescent="0.25">
      <c r="A528" s="7">
        <v>18</v>
      </c>
      <c r="B528" s="1" t="s">
        <v>34</v>
      </c>
      <c r="C528" s="1">
        <v>2.9</v>
      </c>
      <c r="D528" s="1" t="s">
        <v>38</v>
      </c>
      <c r="E528" s="1">
        <v>7.5</v>
      </c>
      <c r="F528" s="1">
        <v>0.6</v>
      </c>
      <c r="G528" s="1">
        <v>2.25</v>
      </c>
      <c r="H528" s="1">
        <v>1</v>
      </c>
      <c r="I528" s="1" t="s">
        <v>39</v>
      </c>
      <c r="J528" s="1">
        <v>4</v>
      </c>
      <c r="K528" s="1">
        <v>7</v>
      </c>
      <c r="L528" s="1">
        <v>4</v>
      </c>
      <c r="M528" s="8">
        <v>0</v>
      </c>
    </row>
    <row r="529" spans="1:13" hidden="1" x14ac:dyDescent="0.25">
      <c r="A529" s="7">
        <v>13</v>
      </c>
      <c r="B529" s="1" t="s">
        <v>34</v>
      </c>
      <c r="C529" s="1">
        <v>1.8</v>
      </c>
      <c r="D529" s="1" t="s">
        <v>35</v>
      </c>
      <c r="E529" s="1">
        <v>4.4000000000000004</v>
      </c>
      <c r="F529" s="1">
        <v>0.6</v>
      </c>
      <c r="G529" s="1">
        <v>3.48</v>
      </c>
      <c r="H529" s="1">
        <v>1.7</v>
      </c>
      <c r="I529" s="1" t="s">
        <v>40</v>
      </c>
      <c r="J529" s="1">
        <v>3</v>
      </c>
      <c r="K529" s="1">
        <v>1</v>
      </c>
      <c r="L529" s="1">
        <v>10</v>
      </c>
      <c r="M529" s="8">
        <v>0</v>
      </c>
    </row>
    <row r="530" spans="1:13" x14ac:dyDescent="0.25">
      <c r="A530" s="7">
        <v>15</v>
      </c>
      <c r="B530" s="1" t="s">
        <v>37</v>
      </c>
      <c r="C530" s="1">
        <v>2</v>
      </c>
      <c r="D530" s="1" t="s">
        <v>35</v>
      </c>
      <c r="E530" s="1">
        <v>4.7</v>
      </c>
      <c r="F530" s="1">
        <v>1.3</v>
      </c>
      <c r="G530" s="1">
        <v>3.55</v>
      </c>
      <c r="H530" s="1">
        <v>1.3</v>
      </c>
      <c r="I530" s="1" t="s">
        <v>36</v>
      </c>
      <c r="J530" s="1">
        <v>2</v>
      </c>
      <c r="K530" s="1">
        <v>6</v>
      </c>
      <c r="L530" s="1">
        <v>5</v>
      </c>
      <c r="M530" s="8">
        <v>0</v>
      </c>
    </row>
    <row r="531" spans="1:13" x14ac:dyDescent="0.25">
      <c r="A531" s="7">
        <v>13</v>
      </c>
      <c r="B531" s="1" t="s">
        <v>37</v>
      </c>
      <c r="C531" s="1">
        <v>4.2</v>
      </c>
      <c r="D531" s="1" t="s">
        <v>35</v>
      </c>
      <c r="E531" s="1">
        <v>7.9</v>
      </c>
      <c r="F531" s="1">
        <v>2.7</v>
      </c>
      <c r="G531" s="1">
        <v>3.76</v>
      </c>
      <c r="H531" s="1">
        <v>0.1</v>
      </c>
      <c r="I531" s="1" t="s">
        <v>40</v>
      </c>
      <c r="J531" s="1">
        <v>10</v>
      </c>
      <c r="K531" s="1">
        <v>7</v>
      </c>
      <c r="L531" s="1">
        <v>2</v>
      </c>
      <c r="M531" s="8">
        <v>0</v>
      </c>
    </row>
    <row r="532" spans="1:13" hidden="1" x14ac:dyDescent="0.25">
      <c r="A532" s="7">
        <v>17</v>
      </c>
      <c r="B532" s="1" t="s">
        <v>37</v>
      </c>
      <c r="C532" s="1">
        <v>6.7</v>
      </c>
      <c r="D532" s="1" t="s">
        <v>41</v>
      </c>
      <c r="E532" s="1">
        <v>7.9</v>
      </c>
      <c r="F532" s="1">
        <v>1.4</v>
      </c>
      <c r="G532" s="1">
        <v>3.91</v>
      </c>
      <c r="H532" s="1">
        <v>0.4</v>
      </c>
      <c r="I532" s="1" t="s">
        <v>39</v>
      </c>
      <c r="J532" s="1">
        <v>3</v>
      </c>
      <c r="K532" s="1">
        <v>3</v>
      </c>
      <c r="L532" s="1">
        <v>1</v>
      </c>
      <c r="M532" s="8">
        <v>0</v>
      </c>
    </row>
    <row r="533" spans="1:13" hidden="1" x14ac:dyDescent="0.25">
      <c r="A533" s="7">
        <v>17</v>
      </c>
      <c r="B533" s="1" t="s">
        <v>37</v>
      </c>
      <c r="C533" s="1">
        <v>2.2000000000000002</v>
      </c>
      <c r="D533" s="1" t="s">
        <v>41</v>
      </c>
      <c r="E533" s="1">
        <v>7.2</v>
      </c>
      <c r="F533" s="1">
        <v>0.5</v>
      </c>
      <c r="G533" s="1">
        <v>2.38</v>
      </c>
      <c r="H533" s="1">
        <v>1.2</v>
      </c>
      <c r="I533" s="1" t="s">
        <v>40</v>
      </c>
      <c r="J533" s="1">
        <v>10</v>
      </c>
      <c r="K533" s="1">
        <v>4</v>
      </c>
      <c r="L533" s="1">
        <v>8</v>
      </c>
      <c r="M533" s="8">
        <v>0</v>
      </c>
    </row>
    <row r="534" spans="1:13" hidden="1" x14ac:dyDescent="0.25">
      <c r="A534" s="7">
        <v>17</v>
      </c>
      <c r="B534" s="1" t="s">
        <v>37</v>
      </c>
      <c r="C534" s="1">
        <v>1.1000000000000001</v>
      </c>
      <c r="D534" s="1" t="s">
        <v>38</v>
      </c>
      <c r="E534" s="1">
        <v>6.8</v>
      </c>
      <c r="F534" s="1">
        <v>0.6</v>
      </c>
      <c r="G534" s="1">
        <v>2.2799999999999998</v>
      </c>
      <c r="H534" s="1">
        <v>1.6</v>
      </c>
      <c r="I534" s="1" t="s">
        <v>40</v>
      </c>
      <c r="J534" s="1">
        <v>9</v>
      </c>
      <c r="K534" s="1">
        <v>3</v>
      </c>
      <c r="L534" s="1">
        <v>7</v>
      </c>
      <c r="M534" s="8">
        <v>0</v>
      </c>
    </row>
    <row r="535" spans="1:13" hidden="1" x14ac:dyDescent="0.25">
      <c r="A535" s="7">
        <v>16</v>
      </c>
      <c r="B535" s="1" t="s">
        <v>37</v>
      </c>
      <c r="C535" s="1">
        <v>6.4</v>
      </c>
      <c r="D535" s="1" t="s">
        <v>38</v>
      </c>
      <c r="E535" s="1">
        <v>5.9</v>
      </c>
      <c r="F535" s="1">
        <v>2.8</v>
      </c>
      <c r="G535" s="1">
        <v>3.81</v>
      </c>
      <c r="H535" s="1">
        <v>1.3</v>
      </c>
      <c r="I535" s="1" t="s">
        <v>39</v>
      </c>
      <c r="J535" s="1">
        <v>1</v>
      </c>
      <c r="K535" s="1">
        <v>3</v>
      </c>
      <c r="L535" s="1">
        <v>7</v>
      </c>
      <c r="M535" s="8">
        <v>0</v>
      </c>
    </row>
    <row r="536" spans="1:13" x14ac:dyDescent="0.25">
      <c r="A536" s="7">
        <v>19</v>
      </c>
      <c r="B536" s="1" t="s">
        <v>37</v>
      </c>
      <c r="C536" s="1">
        <v>2.8</v>
      </c>
      <c r="D536" s="1" t="s">
        <v>35</v>
      </c>
      <c r="E536" s="1">
        <v>5.9</v>
      </c>
      <c r="F536" s="1">
        <v>1.5</v>
      </c>
      <c r="G536" s="1">
        <v>2.85</v>
      </c>
      <c r="H536" s="1">
        <v>0.6</v>
      </c>
      <c r="I536" s="1" t="s">
        <v>39</v>
      </c>
      <c r="J536" s="1">
        <v>10</v>
      </c>
      <c r="K536" s="1">
        <v>9</v>
      </c>
      <c r="L536" s="1">
        <v>4</v>
      </c>
      <c r="M536" s="8">
        <v>0</v>
      </c>
    </row>
    <row r="537" spans="1:13" hidden="1" x14ac:dyDescent="0.25">
      <c r="A537" s="7">
        <v>13</v>
      </c>
      <c r="B537" s="1" t="s">
        <v>34</v>
      </c>
      <c r="C537" s="1">
        <v>2.2000000000000002</v>
      </c>
      <c r="D537" s="1" t="s">
        <v>41</v>
      </c>
      <c r="E537" s="1">
        <v>5.8</v>
      </c>
      <c r="F537" s="1">
        <v>2</v>
      </c>
      <c r="G537" s="1">
        <v>3.63</v>
      </c>
      <c r="H537" s="1">
        <v>1.9</v>
      </c>
      <c r="I537" s="1" t="s">
        <v>36</v>
      </c>
      <c r="J537" s="1">
        <v>4</v>
      </c>
      <c r="K537" s="1">
        <v>4</v>
      </c>
      <c r="L537" s="1">
        <v>10</v>
      </c>
      <c r="M537" s="8">
        <v>0</v>
      </c>
    </row>
    <row r="538" spans="1:13" hidden="1" x14ac:dyDescent="0.25">
      <c r="A538" s="7">
        <v>19</v>
      </c>
      <c r="B538" s="1" t="s">
        <v>34</v>
      </c>
      <c r="C538" s="1">
        <v>5.7</v>
      </c>
      <c r="D538" s="1" t="s">
        <v>35</v>
      </c>
      <c r="E538" s="1">
        <v>4.8</v>
      </c>
      <c r="F538" s="1">
        <v>2.2000000000000002</v>
      </c>
      <c r="G538" s="1">
        <v>3.66</v>
      </c>
      <c r="H538" s="1">
        <v>0.9</v>
      </c>
      <c r="I538" s="1" t="s">
        <v>36</v>
      </c>
      <c r="J538" s="1">
        <v>3</v>
      </c>
      <c r="K538" s="1">
        <v>7</v>
      </c>
      <c r="L538" s="1">
        <v>5</v>
      </c>
      <c r="M538" s="8">
        <v>0</v>
      </c>
    </row>
    <row r="539" spans="1:13" hidden="1" x14ac:dyDescent="0.25">
      <c r="A539" s="7">
        <v>15</v>
      </c>
      <c r="B539" s="1" t="s">
        <v>34</v>
      </c>
      <c r="C539" s="1">
        <v>5.3</v>
      </c>
      <c r="D539" s="1" t="s">
        <v>41</v>
      </c>
      <c r="E539" s="1">
        <v>7.3</v>
      </c>
      <c r="F539" s="1">
        <v>1.9</v>
      </c>
      <c r="G539" s="1">
        <v>2.5099999999999998</v>
      </c>
      <c r="H539" s="1">
        <v>1.4</v>
      </c>
      <c r="I539" s="1" t="s">
        <v>39</v>
      </c>
      <c r="J539" s="1">
        <v>10</v>
      </c>
      <c r="K539" s="1">
        <v>4</v>
      </c>
      <c r="L539" s="1">
        <v>2</v>
      </c>
      <c r="M539" s="8">
        <v>0</v>
      </c>
    </row>
    <row r="540" spans="1:13" hidden="1" x14ac:dyDescent="0.25">
      <c r="A540" s="7">
        <v>14</v>
      </c>
      <c r="B540" s="1" t="s">
        <v>34</v>
      </c>
      <c r="C540" s="1">
        <v>3.1</v>
      </c>
      <c r="D540" s="1" t="s">
        <v>38</v>
      </c>
      <c r="E540" s="1">
        <v>8.8000000000000007</v>
      </c>
      <c r="F540" s="1">
        <v>1.5</v>
      </c>
      <c r="G540" s="1">
        <v>3.91</v>
      </c>
      <c r="H540" s="1">
        <v>0.6</v>
      </c>
      <c r="I540" s="1" t="s">
        <v>40</v>
      </c>
      <c r="J540" s="1">
        <v>4</v>
      </c>
      <c r="K540" s="1">
        <v>9</v>
      </c>
      <c r="L540" s="1">
        <v>6</v>
      </c>
      <c r="M540" s="8">
        <v>0</v>
      </c>
    </row>
    <row r="541" spans="1:13" hidden="1" x14ac:dyDescent="0.25">
      <c r="A541" s="7">
        <v>16</v>
      </c>
      <c r="B541" s="1" t="s">
        <v>34</v>
      </c>
      <c r="C541" s="1">
        <v>1.7</v>
      </c>
      <c r="D541" s="1" t="s">
        <v>38</v>
      </c>
      <c r="E541" s="1">
        <v>4.9000000000000004</v>
      </c>
      <c r="F541" s="1">
        <v>0.6</v>
      </c>
      <c r="G541" s="1">
        <v>3.38</v>
      </c>
      <c r="H541" s="1">
        <v>1.1000000000000001</v>
      </c>
      <c r="I541" s="1" t="s">
        <v>40</v>
      </c>
      <c r="J541" s="1">
        <v>10</v>
      </c>
      <c r="K541" s="1">
        <v>4</v>
      </c>
      <c r="L541" s="1">
        <v>6</v>
      </c>
      <c r="M541" s="8">
        <v>0</v>
      </c>
    </row>
    <row r="542" spans="1:13" x14ac:dyDescent="0.25">
      <c r="A542" s="7">
        <v>19</v>
      </c>
      <c r="B542" s="1" t="s">
        <v>37</v>
      </c>
      <c r="C542" s="1">
        <v>6.7</v>
      </c>
      <c r="D542" s="1" t="s">
        <v>35</v>
      </c>
      <c r="E542" s="1">
        <v>7.3</v>
      </c>
      <c r="F542" s="1">
        <v>2.8</v>
      </c>
      <c r="G542" s="1">
        <v>2.2599999999999998</v>
      </c>
      <c r="H542" s="1">
        <v>1.4</v>
      </c>
      <c r="I542" s="1" t="s">
        <v>39</v>
      </c>
      <c r="J542" s="1">
        <v>7</v>
      </c>
      <c r="K542" s="1">
        <v>6</v>
      </c>
      <c r="L542" s="1">
        <v>8</v>
      </c>
      <c r="M542" s="8">
        <v>0</v>
      </c>
    </row>
    <row r="543" spans="1:13" x14ac:dyDescent="0.25">
      <c r="A543" s="7">
        <v>13</v>
      </c>
      <c r="B543" s="1" t="s">
        <v>37</v>
      </c>
      <c r="C543" s="1">
        <v>7.8</v>
      </c>
      <c r="D543" s="1" t="s">
        <v>35</v>
      </c>
      <c r="E543" s="1">
        <v>7.4</v>
      </c>
      <c r="F543" s="1">
        <v>1.7</v>
      </c>
      <c r="G543" s="1">
        <v>2.76</v>
      </c>
      <c r="H543" s="1">
        <v>1.1000000000000001</v>
      </c>
      <c r="I543" s="1" t="s">
        <v>36</v>
      </c>
      <c r="J543" s="1">
        <v>10</v>
      </c>
      <c r="K543" s="1">
        <v>1</v>
      </c>
      <c r="L543" s="1">
        <v>4</v>
      </c>
      <c r="M543" s="8">
        <v>0</v>
      </c>
    </row>
    <row r="544" spans="1:13" hidden="1" x14ac:dyDescent="0.25">
      <c r="A544" s="7">
        <v>18</v>
      </c>
      <c r="B544" s="1" t="s">
        <v>37</v>
      </c>
      <c r="C544" s="1">
        <v>2.1</v>
      </c>
      <c r="D544" s="1" t="s">
        <v>41</v>
      </c>
      <c r="E544" s="1">
        <v>6.7</v>
      </c>
      <c r="F544" s="1">
        <v>0.9</v>
      </c>
      <c r="G544" s="1">
        <v>3.73</v>
      </c>
      <c r="H544" s="1">
        <v>0.7</v>
      </c>
      <c r="I544" s="1" t="s">
        <v>36</v>
      </c>
      <c r="J544" s="1">
        <v>3</v>
      </c>
      <c r="K544" s="1">
        <v>5</v>
      </c>
      <c r="L544" s="1">
        <v>7</v>
      </c>
      <c r="M544" s="8">
        <v>0</v>
      </c>
    </row>
    <row r="545" spans="1:13" hidden="1" x14ac:dyDescent="0.25">
      <c r="A545" s="7">
        <v>17</v>
      </c>
      <c r="B545" s="1" t="s">
        <v>37</v>
      </c>
      <c r="C545" s="1">
        <v>5.0999999999999996</v>
      </c>
      <c r="D545" s="1" t="s">
        <v>38</v>
      </c>
      <c r="E545" s="1">
        <v>8.6</v>
      </c>
      <c r="F545" s="1">
        <v>1.9</v>
      </c>
      <c r="G545" s="1">
        <v>3.33</v>
      </c>
      <c r="H545" s="1">
        <v>1.1000000000000001</v>
      </c>
      <c r="I545" s="1" t="s">
        <v>36</v>
      </c>
      <c r="J545" s="1">
        <v>1</v>
      </c>
      <c r="K545" s="1">
        <v>7</v>
      </c>
      <c r="L545" s="1">
        <v>8</v>
      </c>
      <c r="M545" s="8">
        <v>0</v>
      </c>
    </row>
    <row r="546" spans="1:13" x14ac:dyDescent="0.25">
      <c r="A546" s="7">
        <v>18</v>
      </c>
      <c r="B546" s="1" t="s">
        <v>37</v>
      </c>
      <c r="C546" s="1">
        <v>3.6</v>
      </c>
      <c r="D546" s="1" t="s">
        <v>35</v>
      </c>
      <c r="E546" s="1">
        <v>5.4</v>
      </c>
      <c r="F546" s="1">
        <v>0.9</v>
      </c>
      <c r="G546" s="1">
        <v>3.45</v>
      </c>
      <c r="H546" s="1">
        <v>0.5</v>
      </c>
      <c r="I546" s="1" t="s">
        <v>40</v>
      </c>
      <c r="J546" s="1">
        <v>1</v>
      </c>
      <c r="K546" s="1">
        <v>10</v>
      </c>
      <c r="L546" s="1">
        <v>2</v>
      </c>
      <c r="M546" s="8">
        <v>0</v>
      </c>
    </row>
    <row r="547" spans="1:13" hidden="1" x14ac:dyDescent="0.25">
      <c r="A547" s="7">
        <v>18</v>
      </c>
      <c r="B547" s="1" t="s">
        <v>34</v>
      </c>
      <c r="C547" s="1">
        <v>5</v>
      </c>
      <c r="D547" s="1" t="s">
        <v>41</v>
      </c>
      <c r="E547" s="1">
        <v>7.6</v>
      </c>
      <c r="F547" s="1">
        <v>2</v>
      </c>
      <c r="G547" s="1">
        <v>3.94</v>
      </c>
      <c r="H547" s="1">
        <v>0.5</v>
      </c>
      <c r="I547" s="1" t="s">
        <v>36</v>
      </c>
      <c r="J547" s="1">
        <v>4</v>
      </c>
      <c r="K547" s="1">
        <v>3</v>
      </c>
      <c r="L547" s="1">
        <v>3</v>
      </c>
      <c r="M547" s="8">
        <v>0</v>
      </c>
    </row>
    <row r="548" spans="1:13" hidden="1" x14ac:dyDescent="0.25">
      <c r="A548" s="7">
        <v>17</v>
      </c>
      <c r="B548" s="1" t="s">
        <v>34</v>
      </c>
      <c r="C548" s="1">
        <v>1.7</v>
      </c>
      <c r="D548" s="1" t="s">
        <v>41</v>
      </c>
      <c r="E548" s="1">
        <v>8.6</v>
      </c>
      <c r="F548" s="1">
        <v>0.9</v>
      </c>
      <c r="G548" s="1">
        <v>2.36</v>
      </c>
      <c r="H548" s="1">
        <v>1.7</v>
      </c>
      <c r="I548" s="1" t="s">
        <v>36</v>
      </c>
      <c r="J548" s="1">
        <v>9</v>
      </c>
      <c r="K548" s="1">
        <v>1</v>
      </c>
      <c r="L548" s="1">
        <v>3</v>
      </c>
      <c r="M548" s="8">
        <v>0</v>
      </c>
    </row>
    <row r="549" spans="1:13" hidden="1" x14ac:dyDescent="0.25">
      <c r="A549" s="7">
        <v>17</v>
      </c>
      <c r="B549" s="1" t="s">
        <v>34</v>
      </c>
      <c r="C549" s="1">
        <v>6.8</v>
      </c>
      <c r="D549" s="1" t="s">
        <v>35</v>
      </c>
      <c r="E549" s="1">
        <v>4.7</v>
      </c>
      <c r="F549" s="1">
        <v>0.6</v>
      </c>
      <c r="G549" s="1">
        <v>3.4</v>
      </c>
      <c r="H549" s="1">
        <v>0.9</v>
      </c>
      <c r="I549" s="1" t="s">
        <v>36</v>
      </c>
      <c r="J549" s="1">
        <v>3</v>
      </c>
      <c r="K549" s="1">
        <v>9</v>
      </c>
      <c r="L549" s="1">
        <v>7</v>
      </c>
      <c r="M549" s="8">
        <v>0</v>
      </c>
    </row>
    <row r="550" spans="1:13" hidden="1" x14ac:dyDescent="0.25">
      <c r="A550" s="7">
        <v>14</v>
      </c>
      <c r="B550" s="1" t="s">
        <v>34</v>
      </c>
      <c r="C550" s="1">
        <v>3.8</v>
      </c>
      <c r="D550" s="1" t="s">
        <v>41</v>
      </c>
      <c r="E550" s="1">
        <v>7.5</v>
      </c>
      <c r="F550" s="1">
        <v>0.5</v>
      </c>
      <c r="G550" s="1">
        <v>2.1800000000000002</v>
      </c>
      <c r="H550" s="1">
        <v>1</v>
      </c>
      <c r="I550" s="1" t="s">
        <v>40</v>
      </c>
      <c r="J550" s="1">
        <v>5</v>
      </c>
      <c r="K550" s="1">
        <v>2</v>
      </c>
      <c r="L550" s="1">
        <v>2</v>
      </c>
      <c r="M550" s="8">
        <v>0</v>
      </c>
    </row>
    <row r="551" spans="1:13" hidden="1" x14ac:dyDescent="0.25">
      <c r="A551" s="7">
        <v>16</v>
      </c>
      <c r="B551" s="1" t="s">
        <v>34</v>
      </c>
      <c r="C551" s="1">
        <v>2.1</v>
      </c>
      <c r="D551" s="1" t="s">
        <v>35</v>
      </c>
      <c r="E551" s="1">
        <v>7.7</v>
      </c>
      <c r="F551" s="1">
        <v>1.1000000000000001</v>
      </c>
      <c r="G551" s="1">
        <v>2.27</v>
      </c>
      <c r="H551" s="1">
        <v>1.1000000000000001</v>
      </c>
      <c r="I551" s="1" t="s">
        <v>40</v>
      </c>
      <c r="J551" s="1">
        <v>3</v>
      </c>
      <c r="K551" s="1">
        <v>2</v>
      </c>
      <c r="L551" s="1">
        <v>4</v>
      </c>
      <c r="M551" s="8">
        <v>0</v>
      </c>
    </row>
    <row r="552" spans="1:13" x14ac:dyDescent="0.25">
      <c r="A552" s="7">
        <v>15</v>
      </c>
      <c r="B552" s="1" t="s">
        <v>37</v>
      </c>
      <c r="C552" s="1">
        <v>3.2</v>
      </c>
      <c r="D552" s="1" t="s">
        <v>35</v>
      </c>
      <c r="E552" s="1">
        <v>4</v>
      </c>
      <c r="F552" s="1">
        <v>2</v>
      </c>
      <c r="G552" s="1">
        <v>3.25</v>
      </c>
      <c r="H552" s="1">
        <v>0.7</v>
      </c>
      <c r="I552" s="1" t="s">
        <v>36</v>
      </c>
      <c r="J552" s="1">
        <v>8</v>
      </c>
      <c r="K552" s="1">
        <v>4</v>
      </c>
      <c r="L552" s="1">
        <v>8</v>
      </c>
      <c r="M552" s="8">
        <v>0</v>
      </c>
    </row>
    <row r="553" spans="1:13" hidden="1" x14ac:dyDescent="0.25">
      <c r="A553" s="7">
        <v>18</v>
      </c>
      <c r="B553" s="1" t="s">
        <v>34</v>
      </c>
      <c r="C553" s="1">
        <v>1.9</v>
      </c>
      <c r="D553" s="1" t="s">
        <v>35</v>
      </c>
      <c r="E553" s="1">
        <v>5.6</v>
      </c>
      <c r="F553" s="1">
        <v>2.2999999999999998</v>
      </c>
      <c r="G553" s="1">
        <v>2.8</v>
      </c>
      <c r="H553" s="1">
        <v>1.9</v>
      </c>
      <c r="I553" s="1" t="s">
        <v>40</v>
      </c>
      <c r="J553" s="1">
        <v>8</v>
      </c>
      <c r="K553" s="1">
        <v>1</v>
      </c>
      <c r="L553" s="1">
        <v>8</v>
      </c>
      <c r="M553" s="8">
        <v>0</v>
      </c>
    </row>
    <row r="554" spans="1:13" x14ac:dyDescent="0.25">
      <c r="A554" s="7">
        <v>13</v>
      </c>
      <c r="B554" s="1" t="s">
        <v>37</v>
      </c>
      <c r="C554" s="1">
        <v>3.5</v>
      </c>
      <c r="D554" s="1" t="s">
        <v>35</v>
      </c>
      <c r="E554" s="1">
        <v>6.8</v>
      </c>
      <c r="F554" s="1">
        <v>1.5</v>
      </c>
      <c r="G554" s="1">
        <v>2.35</v>
      </c>
      <c r="H554" s="1">
        <v>1.8</v>
      </c>
      <c r="I554" s="1" t="s">
        <v>40</v>
      </c>
      <c r="J554" s="1">
        <v>7</v>
      </c>
      <c r="K554" s="1">
        <v>3</v>
      </c>
      <c r="L554" s="1">
        <v>2</v>
      </c>
      <c r="M554" s="8">
        <v>0</v>
      </c>
    </row>
    <row r="555" spans="1:13" x14ac:dyDescent="0.25">
      <c r="A555" s="7">
        <v>15</v>
      </c>
      <c r="B555" s="1" t="s">
        <v>37</v>
      </c>
      <c r="C555" s="1">
        <v>4.5</v>
      </c>
      <c r="D555" s="1" t="s">
        <v>35</v>
      </c>
      <c r="E555" s="1">
        <v>7.7</v>
      </c>
      <c r="F555" s="1">
        <v>0.9</v>
      </c>
      <c r="G555" s="1">
        <v>2.61</v>
      </c>
      <c r="H555" s="1">
        <v>1.1000000000000001</v>
      </c>
      <c r="I555" s="1" t="s">
        <v>40</v>
      </c>
      <c r="J555" s="1">
        <v>9</v>
      </c>
      <c r="K555" s="1">
        <v>10</v>
      </c>
      <c r="L555" s="1">
        <v>4</v>
      </c>
      <c r="M555" s="8">
        <v>0</v>
      </c>
    </row>
    <row r="556" spans="1:13" hidden="1" x14ac:dyDescent="0.25">
      <c r="A556" s="7">
        <v>13</v>
      </c>
      <c r="B556" s="1" t="s">
        <v>37</v>
      </c>
      <c r="C556" s="1">
        <v>6</v>
      </c>
      <c r="D556" s="1" t="s">
        <v>38</v>
      </c>
      <c r="E556" s="1">
        <v>5</v>
      </c>
      <c r="F556" s="1">
        <v>2.5</v>
      </c>
      <c r="G556" s="1">
        <v>2.5499999999999998</v>
      </c>
      <c r="H556" s="1">
        <v>1.8</v>
      </c>
      <c r="I556" s="1" t="s">
        <v>39</v>
      </c>
      <c r="J556" s="1">
        <v>4</v>
      </c>
      <c r="K556" s="1">
        <v>9</v>
      </c>
      <c r="L556" s="1">
        <v>2</v>
      </c>
      <c r="M556" s="8">
        <v>0</v>
      </c>
    </row>
    <row r="557" spans="1:13" hidden="1" x14ac:dyDescent="0.25">
      <c r="A557" s="7">
        <v>13</v>
      </c>
      <c r="B557" s="1" t="s">
        <v>37</v>
      </c>
      <c r="C557" s="1">
        <v>3.6</v>
      </c>
      <c r="D557" s="1" t="s">
        <v>38</v>
      </c>
      <c r="E557" s="1">
        <v>4.8</v>
      </c>
      <c r="F557" s="1">
        <v>2.2000000000000002</v>
      </c>
      <c r="G557" s="1">
        <v>3.58</v>
      </c>
      <c r="H557" s="1">
        <v>1.2</v>
      </c>
      <c r="I557" s="1" t="s">
        <v>40</v>
      </c>
      <c r="J557" s="1">
        <v>4</v>
      </c>
      <c r="K557" s="1">
        <v>4</v>
      </c>
      <c r="L557" s="1">
        <v>7</v>
      </c>
      <c r="M557" s="8">
        <v>0</v>
      </c>
    </row>
    <row r="558" spans="1:13" hidden="1" x14ac:dyDescent="0.25">
      <c r="A558" s="7">
        <v>19</v>
      </c>
      <c r="B558" s="1" t="s">
        <v>34</v>
      </c>
      <c r="C558" s="1">
        <v>5.2</v>
      </c>
      <c r="D558" s="1" t="s">
        <v>38</v>
      </c>
      <c r="E558" s="1">
        <v>6.9</v>
      </c>
      <c r="F558" s="1">
        <v>2.2999999999999998</v>
      </c>
      <c r="G558" s="1">
        <v>2.09</v>
      </c>
      <c r="H558" s="1">
        <v>0.2</v>
      </c>
      <c r="I558" s="1" t="s">
        <v>39</v>
      </c>
      <c r="J558" s="1">
        <v>6</v>
      </c>
      <c r="K558" s="1">
        <v>4</v>
      </c>
      <c r="L558" s="1">
        <v>8</v>
      </c>
      <c r="M558" s="8">
        <v>0</v>
      </c>
    </row>
    <row r="559" spans="1:13" hidden="1" x14ac:dyDescent="0.25">
      <c r="A559" s="7">
        <v>13</v>
      </c>
      <c r="B559" s="1" t="s">
        <v>34</v>
      </c>
      <c r="C559" s="1">
        <v>2.7</v>
      </c>
      <c r="D559" s="1" t="s">
        <v>41</v>
      </c>
      <c r="E559" s="1">
        <v>6.9</v>
      </c>
      <c r="F559" s="1">
        <v>1.4</v>
      </c>
      <c r="G559" s="1">
        <v>2.87</v>
      </c>
      <c r="H559" s="1">
        <v>1.5</v>
      </c>
      <c r="I559" s="1" t="s">
        <v>36</v>
      </c>
      <c r="J559" s="1">
        <v>2</v>
      </c>
      <c r="K559" s="1">
        <v>6</v>
      </c>
      <c r="L559" s="1">
        <v>3</v>
      </c>
      <c r="M559" s="8">
        <v>0</v>
      </c>
    </row>
    <row r="560" spans="1:13" hidden="1" x14ac:dyDescent="0.25">
      <c r="A560" s="7">
        <v>16</v>
      </c>
      <c r="B560" s="1" t="s">
        <v>37</v>
      </c>
      <c r="C560" s="1">
        <v>2.8</v>
      </c>
      <c r="D560" s="1" t="s">
        <v>38</v>
      </c>
      <c r="E560" s="1">
        <v>7.1</v>
      </c>
      <c r="F560" s="1">
        <v>1.4</v>
      </c>
      <c r="G560" s="1">
        <v>3.85</v>
      </c>
      <c r="H560" s="1">
        <v>0.4</v>
      </c>
      <c r="I560" s="1" t="s">
        <v>39</v>
      </c>
      <c r="J560" s="1">
        <v>7</v>
      </c>
      <c r="K560" s="1">
        <v>9</v>
      </c>
      <c r="L560" s="1">
        <v>8</v>
      </c>
      <c r="M560" s="8">
        <v>0</v>
      </c>
    </row>
    <row r="561" spans="1:13" hidden="1" x14ac:dyDescent="0.25">
      <c r="A561" s="7">
        <v>14</v>
      </c>
      <c r="B561" s="1" t="s">
        <v>34</v>
      </c>
      <c r="C561" s="1">
        <v>5.6</v>
      </c>
      <c r="D561" s="1" t="s">
        <v>35</v>
      </c>
      <c r="E561" s="1">
        <v>7</v>
      </c>
      <c r="F561" s="1">
        <v>1.9</v>
      </c>
      <c r="G561" s="1">
        <v>2.58</v>
      </c>
      <c r="H561" s="1">
        <v>0.4</v>
      </c>
      <c r="I561" s="1" t="s">
        <v>36</v>
      </c>
      <c r="J561" s="1">
        <v>5</v>
      </c>
      <c r="K561" s="1">
        <v>7</v>
      </c>
      <c r="L561" s="1">
        <v>3</v>
      </c>
      <c r="M561" s="8">
        <v>0</v>
      </c>
    </row>
    <row r="562" spans="1:13" hidden="1" x14ac:dyDescent="0.25">
      <c r="A562" s="7">
        <v>16</v>
      </c>
      <c r="B562" s="1" t="s">
        <v>34</v>
      </c>
      <c r="C562" s="1">
        <v>2.7</v>
      </c>
      <c r="D562" s="1" t="s">
        <v>41</v>
      </c>
      <c r="E562" s="1">
        <v>7.2</v>
      </c>
      <c r="F562" s="1">
        <v>0.6</v>
      </c>
      <c r="G562" s="1">
        <v>3.98</v>
      </c>
      <c r="H562" s="1">
        <v>1.7</v>
      </c>
      <c r="I562" s="1" t="s">
        <v>36</v>
      </c>
      <c r="J562" s="1">
        <v>6</v>
      </c>
      <c r="K562" s="1">
        <v>1</v>
      </c>
      <c r="L562" s="1">
        <v>5</v>
      </c>
      <c r="M562" s="8">
        <v>0</v>
      </c>
    </row>
    <row r="563" spans="1:13" hidden="1" x14ac:dyDescent="0.25">
      <c r="A563" s="7">
        <v>14</v>
      </c>
      <c r="B563" s="1" t="s">
        <v>34</v>
      </c>
      <c r="C563" s="1">
        <v>4.2</v>
      </c>
      <c r="D563" s="1" t="s">
        <v>41</v>
      </c>
      <c r="E563" s="1">
        <v>7</v>
      </c>
      <c r="F563" s="1">
        <v>1.1000000000000001</v>
      </c>
      <c r="G563" s="1">
        <v>2.12</v>
      </c>
      <c r="H563" s="1">
        <v>0.9</v>
      </c>
      <c r="I563" s="1" t="s">
        <v>39</v>
      </c>
      <c r="J563" s="1">
        <v>4</v>
      </c>
      <c r="K563" s="1">
        <v>8</v>
      </c>
      <c r="L563" s="1">
        <v>1</v>
      </c>
      <c r="M563" s="8">
        <v>0</v>
      </c>
    </row>
    <row r="564" spans="1:13" hidden="1" x14ac:dyDescent="0.25">
      <c r="A564" s="7">
        <v>18</v>
      </c>
      <c r="B564" s="1" t="s">
        <v>37</v>
      </c>
      <c r="C564" s="1">
        <v>5.0999999999999996</v>
      </c>
      <c r="D564" s="1" t="s">
        <v>38</v>
      </c>
      <c r="E564" s="1">
        <v>8.1999999999999993</v>
      </c>
      <c r="F564" s="1">
        <v>2.8</v>
      </c>
      <c r="G564" s="1">
        <v>2.1800000000000002</v>
      </c>
      <c r="H564" s="1">
        <v>0.5</v>
      </c>
      <c r="I564" s="1" t="s">
        <v>39</v>
      </c>
      <c r="J564" s="1">
        <v>8</v>
      </c>
      <c r="K564" s="1">
        <v>8</v>
      </c>
      <c r="L564" s="1">
        <v>8</v>
      </c>
      <c r="M564" s="8">
        <v>0</v>
      </c>
    </row>
    <row r="565" spans="1:13" x14ac:dyDescent="0.25">
      <c r="A565" s="7">
        <v>15</v>
      </c>
      <c r="B565" s="1" t="s">
        <v>37</v>
      </c>
      <c r="C565" s="1">
        <v>5.7</v>
      </c>
      <c r="D565" s="1" t="s">
        <v>35</v>
      </c>
      <c r="E565" s="1">
        <v>6.1</v>
      </c>
      <c r="F565" s="1">
        <v>0.7</v>
      </c>
      <c r="G565" s="1">
        <v>3.08</v>
      </c>
      <c r="H565" s="1">
        <v>0.6</v>
      </c>
      <c r="I565" s="1" t="s">
        <v>40</v>
      </c>
      <c r="J565" s="1">
        <v>5</v>
      </c>
      <c r="K565" s="1">
        <v>9</v>
      </c>
      <c r="L565" s="1">
        <v>7</v>
      </c>
      <c r="M565" s="8">
        <v>0</v>
      </c>
    </row>
    <row r="566" spans="1:13" hidden="1" x14ac:dyDescent="0.25">
      <c r="A566" s="7">
        <v>13</v>
      </c>
      <c r="B566" s="1" t="s">
        <v>37</v>
      </c>
      <c r="C566" s="1">
        <v>1.5</v>
      </c>
      <c r="D566" s="1" t="s">
        <v>41</v>
      </c>
      <c r="E566" s="1">
        <v>7.9</v>
      </c>
      <c r="F566" s="1">
        <v>1.8</v>
      </c>
      <c r="G566" s="1">
        <v>2.85</v>
      </c>
      <c r="H566" s="1">
        <v>1.1000000000000001</v>
      </c>
      <c r="I566" s="1" t="s">
        <v>40</v>
      </c>
      <c r="J566" s="1">
        <v>5</v>
      </c>
      <c r="K566" s="1">
        <v>7</v>
      </c>
      <c r="L566" s="1">
        <v>1</v>
      </c>
      <c r="M566" s="8">
        <v>0</v>
      </c>
    </row>
    <row r="567" spans="1:13" hidden="1" x14ac:dyDescent="0.25">
      <c r="A567" s="7">
        <v>15</v>
      </c>
      <c r="B567" s="1" t="s">
        <v>37</v>
      </c>
      <c r="C567" s="1">
        <v>6.9</v>
      </c>
      <c r="D567" s="1" t="s">
        <v>38</v>
      </c>
      <c r="E567" s="1">
        <v>8.3000000000000007</v>
      </c>
      <c r="F567" s="1">
        <v>2.4</v>
      </c>
      <c r="G567" s="1">
        <v>3.34</v>
      </c>
      <c r="H567" s="1">
        <v>1.2</v>
      </c>
      <c r="I567" s="1" t="s">
        <v>39</v>
      </c>
      <c r="J567" s="1">
        <v>2</v>
      </c>
      <c r="K567" s="1">
        <v>4</v>
      </c>
      <c r="L567" s="1">
        <v>9</v>
      </c>
      <c r="M567" s="8">
        <v>0</v>
      </c>
    </row>
    <row r="568" spans="1:13" hidden="1" x14ac:dyDescent="0.25">
      <c r="A568" s="7">
        <v>14</v>
      </c>
      <c r="B568" s="1" t="s">
        <v>34</v>
      </c>
      <c r="C568" s="1">
        <v>4.7</v>
      </c>
      <c r="D568" s="1" t="s">
        <v>38</v>
      </c>
      <c r="E568" s="1">
        <v>7.9</v>
      </c>
      <c r="F568" s="1">
        <v>2.9</v>
      </c>
      <c r="G568" s="1">
        <v>2.54</v>
      </c>
      <c r="H568" s="1">
        <v>0.7</v>
      </c>
      <c r="I568" s="1" t="s">
        <v>39</v>
      </c>
      <c r="J568" s="1">
        <v>5</v>
      </c>
      <c r="K568" s="1">
        <v>8</v>
      </c>
      <c r="L568" s="1">
        <v>7</v>
      </c>
      <c r="M568" s="8">
        <v>0</v>
      </c>
    </row>
    <row r="569" spans="1:13" hidden="1" x14ac:dyDescent="0.25">
      <c r="A569" s="7">
        <v>15</v>
      </c>
      <c r="B569" s="1" t="s">
        <v>37</v>
      </c>
      <c r="C569" s="1">
        <v>2.7</v>
      </c>
      <c r="D569" s="1" t="s">
        <v>41</v>
      </c>
      <c r="E569" s="1">
        <v>8.5</v>
      </c>
      <c r="F569" s="1">
        <v>0.8</v>
      </c>
      <c r="G569" s="1">
        <v>2.91</v>
      </c>
      <c r="H569" s="1">
        <v>1.3</v>
      </c>
      <c r="I569" s="1" t="s">
        <v>36</v>
      </c>
      <c r="J569" s="1">
        <v>6</v>
      </c>
      <c r="K569" s="1">
        <v>3</v>
      </c>
      <c r="L569" s="1">
        <v>1</v>
      </c>
      <c r="M569" s="8">
        <v>0</v>
      </c>
    </row>
    <row r="570" spans="1:13" hidden="1" x14ac:dyDescent="0.25">
      <c r="A570" s="7">
        <v>13</v>
      </c>
      <c r="B570" s="1" t="s">
        <v>37</v>
      </c>
      <c r="C570" s="1">
        <v>6.1</v>
      </c>
      <c r="D570" s="1" t="s">
        <v>41</v>
      </c>
      <c r="E570" s="1">
        <v>6.4</v>
      </c>
      <c r="F570" s="1">
        <v>2.8</v>
      </c>
      <c r="G570" s="1">
        <v>2.5099999999999998</v>
      </c>
      <c r="H570" s="1">
        <v>1.9</v>
      </c>
      <c r="I570" s="1" t="s">
        <v>36</v>
      </c>
      <c r="J570" s="1">
        <v>6</v>
      </c>
      <c r="K570" s="1">
        <v>1</v>
      </c>
      <c r="L570" s="1">
        <v>9</v>
      </c>
      <c r="M570" s="8">
        <v>0</v>
      </c>
    </row>
    <row r="571" spans="1:13" hidden="1" x14ac:dyDescent="0.25">
      <c r="A571" s="7">
        <v>17</v>
      </c>
      <c r="B571" s="1" t="s">
        <v>37</v>
      </c>
      <c r="C571" s="1">
        <v>5</v>
      </c>
      <c r="D571" s="1" t="s">
        <v>38</v>
      </c>
      <c r="E571" s="1">
        <v>7.3</v>
      </c>
      <c r="F571" s="1">
        <v>1.9</v>
      </c>
      <c r="G571" s="1">
        <v>3.83</v>
      </c>
      <c r="H571" s="1">
        <v>0.4</v>
      </c>
      <c r="I571" s="1" t="s">
        <v>39</v>
      </c>
      <c r="J571" s="1">
        <v>8</v>
      </c>
      <c r="K571" s="1">
        <v>9</v>
      </c>
      <c r="L571" s="1">
        <v>9</v>
      </c>
      <c r="M571" s="8">
        <v>0</v>
      </c>
    </row>
    <row r="572" spans="1:13" hidden="1" x14ac:dyDescent="0.25">
      <c r="A572" s="7">
        <v>17</v>
      </c>
      <c r="B572" s="1" t="s">
        <v>37</v>
      </c>
      <c r="C572" s="1">
        <v>5.3</v>
      </c>
      <c r="D572" s="1" t="s">
        <v>41</v>
      </c>
      <c r="E572" s="1">
        <v>6.8</v>
      </c>
      <c r="F572" s="1">
        <v>1.9</v>
      </c>
      <c r="G572" s="1">
        <v>3.39</v>
      </c>
      <c r="H572" s="1">
        <v>1.6</v>
      </c>
      <c r="I572" s="1" t="s">
        <v>36</v>
      </c>
      <c r="J572" s="1">
        <v>10</v>
      </c>
      <c r="K572" s="1">
        <v>6</v>
      </c>
      <c r="L572" s="1">
        <v>8</v>
      </c>
      <c r="M572" s="8">
        <v>0</v>
      </c>
    </row>
    <row r="573" spans="1:13" hidden="1" x14ac:dyDescent="0.25">
      <c r="A573" s="7">
        <v>19</v>
      </c>
      <c r="B573" s="1" t="s">
        <v>34</v>
      </c>
      <c r="C573" s="1">
        <v>7.2</v>
      </c>
      <c r="D573" s="1" t="s">
        <v>38</v>
      </c>
      <c r="E573" s="1">
        <v>6.6</v>
      </c>
      <c r="F573" s="1">
        <v>2.9</v>
      </c>
      <c r="G573" s="1">
        <v>2.74</v>
      </c>
      <c r="H573" s="1">
        <v>0.3</v>
      </c>
      <c r="I573" s="1" t="s">
        <v>40</v>
      </c>
      <c r="J573" s="1">
        <v>1</v>
      </c>
      <c r="K573" s="1">
        <v>10</v>
      </c>
      <c r="L573" s="1">
        <v>9</v>
      </c>
      <c r="M573" s="8">
        <v>0</v>
      </c>
    </row>
    <row r="574" spans="1:13" hidden="1" x14ac:dyDescent="0.25">
      <c r="A574" s="7">
        <v>15</v>
      </c>
      <c r="B574" s="1" t="s">
        <v>34</v>
      </c>
      <c r="C574" s="1">
        <v>2.2999999999999998</v>
      </c>
      <c r="D574" s="1" t="s">
        <v>41</v>
      </c>
      <c r="E574" s="1">
        <v>5.7</v>
      </c>
      <c r="F574" s="1">
        <v>2.8</v>
      </c>
      <c r="G574" s="1">
        <v>2.79</v>
      </c>
      <c r="H574" s="1">
        <v>1.9</v>
      </c>
      <c r="I574" s="1" t="s">
        <v>40</v>
      </c>
      <c r="J574" s="1">
        <v>4</v>
      </c>
      <c r="K574" s="1">
        <v>1</v>
      </c>
      <c r="L574" s="1">
        <v>4</v>
      </c>
      <c r="M574" s="8">
        <v>0</v>
      </c>
    </row>
    <row r="575" spans="1:13" hidden="1" x14ac:dyDescent="0.25">
      <c r="A575" s="7">
        <v>17</v>
      </c>
      <c r="B575" s="1" t="s">
        <v>37</v>
      </c>
      <c r="C575" s="1">
        <v>7.3</v>
      </c>
      <c r="D575" s="1" t="s">
        <v>41</v>
      </c>
      <c r="E575" s="1">
        <v>7.8</v>
      </c>
      <c r="F575" s="1">
        <v>1.1000000000000001</v>
      </c>
      <c r="G575" s="1">
        <v>2.0299999999999998</v>
      </c>
      <c r="H575" s="1">
        <v>1.1000000000000001</v>
      </c>
      <c r="I575" s="1" t="s">
        <v>36</v>
      </c>
      <c r="J575" s="1">
        <v>3</v>
      </c>
      <c r="K575" s="1">
        <v>10</v>
      </c>
      <c r="L575" s="1">
        <v>6</v>
      </c>
      <c r="M575" s="8">
        <v>0</v>
      </c>
    </row>
    <row r="576" spans="1:13" x14ac:dyDescent="0.25">
      <c r="A576" s="7">
        <v>16</v>
      </c>
      <c r="B576" s="1" t="s">
        <v>37</v>
      </c>
      <c r="C576" s="1">
        <v>1.5</v>
      </c>
      <c r="D576" s="1" t="s">
        <v>35</v>
      </c>
      <c r="E576" s="1">
        <v>8</v>
      </c>
      <c r="F576" s="1">
        <v>0.7</v>
      </c>
      <c r="G576" s="1">
        <v>2.1800000000000002</v>
      </c>
      <c r="H576" s="1">
        <v>0.6</v>
      </c>
      <c r="I576" s="1" t="s">
        <v>40</v>
      </c>
      <c r="J576" s="1">
        <v>4</v>
      </c>
      <c r="K576" s="1">
        <v>7</v>
      </c>
      <c r="L576" s="1">
        <v>5</v>
      </c>
      <c r="M576" s="8">
        <v>0</v>
      </c>
    </row>
    <row r="577" spans="1:13" x14ac:dyDescent="0.25">
      <c r="A577" s="7">
        <v>18</v>
      </c>
      <c r="B577" s="1" t="s">
        <v>37</v>
      </c>
      <c r="C577" s="1">
        <v>2.2000000000000002</v>
      </c>
      <c r="D577" s="1" t="s">
        <v>35</v>
      </c>
      <c r="E577" s="1">
        <v>6.5</v>
      </c>
      <c r="F577" s="1">
        <v>1.9</v>
      </c>
      <c r="G577" s="1">
        <v>3.79</v>
      </c>
      <c r="H577" s="1">
        <v>0.2</v>
      </c>
      <c r="I577" s="1" t="s">
        <v>36</v>
      </c>
      <c r="J577" s="1">
        <v>1</v>
      </c>
      <c r="K577" s="1">
        <v>6</v>
      </c>
      <c r="L577" s="1">
        <v>2</v>
      </c>
      <c r="M577" s="8">
        <v>0</v>
      </c>
    </row>
    <row r="578" spans="1:13" hidden="1" x14ac:dyDescent="0.25">
      <c r="A578" s="7">
        <v>13</v>
      </c>
      <c r="B578" s="1" t="s">
        <v>37</v>
      </c>
      <c r="C578" s="1">
        <v>5.5</v>
      </c>
      <c r="D578" s="1" t="s">
        <v>41</v>
      </c>
      <c r="E578" s="1">
        <v>6.7</v>
      </c>
      <c r="F578" s="1">
        <v>1.6</v>
      </c>
      <c r="G578" s="1">
        <v>3.09</v>
      </c>
      <c r="H578" s="1">
        <v>1.7</v>
      </c>
      <c r="I578" s="1" t="s">
        <v>39</v>
      </c>
      <c r="J578" s="1">
        <v>10</v>
      </c>
      <c r="K578" s="1">
        <v>1</v>
      </c>
      <c r="L578" s="1">
        <v>6</v>
      </c>
      <c r="M578" s="8">
        <v>0</v>
      </c>
    </row>
    <row r="579" spans="1:13" hidden="1" x14ac:dyDescent="0.25">
      <c r="A579" s="7">
        <v>19</v>
      </c>
      <c r="B579" s="1" t="s">
        <v>34</v>
      </c>
      <c r="C579" s="1">
        <v>2.1</v>
      </c>
      <c r="D579" s="1" t="s">
        <v>38</v>
      </c>
      <c r="E579" s="1">
        <v>5.2</v>
      </c>
      <c r="F579" s="1">
        <v>2.5</v>
      </c>
      <c r="G579" s="1">
        <v>3.1</v>
      </c>
      <c r="H579" s="1">
        <v>0.3</v>
      </c>
      <c r="I579" s="1" t="s">
        <v>36</v>
      </c>
      <c r="J579" s="1">
        <v>9</v>
      </c>
      <c r="K579" s="1">
        <v>9</v>
      </c>
      <c r="L579" s="1">
        <v>3</v>
      </c>
      <c r="M579" s="8">
        <v>0</v>
      </c>
    </row>
    <row r="580" spans="1:13" hidden="1" x14ac:dyDescent="0.25">
      <c r="A580" s="7">
        <v>15</v>
      </c>
      <c r="B580" s="1" t="s">
        <v>37</v>
      </c>
      <c r="C580" s="1">
        <v>4.5</v>
      </c>
      <c r="D580" s="1" t="s">
        <v>41</v>
      </c>
      <c r="E580" s="1">
        <v>5.4</v>
      </c>
      <c r="F580" s="1">
        <v>1.2</v>
      </c>
      <c r="G580" s="1">
        <v>3.76</v>
      </c>
      <c r="H580" s="1">
        <v>1.7</v>
      </c>
      <c r="I580" s="1" t="s">
        <v>39</v>
      </c>
      <c r="J580" s="1">
        <v>1</v>
      </c>
      <c r="K580" s="1">
        <v>8</v>
      </c>
      <c r="L580" s="1">
        <v>7</v>
      </c>
      <c r="M580" s="8">
        <v>0</v>
      </c>
    </row>
    <row r="581" spans="1:13" hidden="1" x14ac:dyDescent="0.25">
      <c r="A581" s="7">
        <v>13</v>
      </c>
      <c r="B581" s="1" t="s">
        <v>34</v>
      </c>
      <c r="C581" s="1">
        <v>3.9</v>
      </c>
      <c r="D581" s="1" t="s">
        <v>41</v>
      </c>
      <c r="E581" s="1">
        <v>5.8</v>
      </c>
      <c r="F581" s="1">
        <v>0.7</v>
      </c>
      <c r="G581" s="1">
        <v>2.77</v>
      </c>
      <c r="H581" s="1">
        <v>1.3</v>
      </c>
      <c r="I581" s="1" t="s">
        <v>40</v>
      </c>
      <c r="J581" s="1">
        <v>10</v>
      </c>
      <c r="K581" s="1">
        <v>3</v>
      </c>
      <c r="L581" s="1">
        <v>1</v>
      </c>
      <c r="M581" s="8">
        <v>0</v>
      </c>
    </row>
    <row r="582" spans="1:13" hidden="1" x14ac:dyDescent="0.25">
      <c r="A582" s="7">
        <v>14</v>
      </c>
      <c r="B582" s="1" t="s">
        <v>34</v>
      </c>
      <c r="C582" s="1">
        <v>5.8</v>
      </c>
      <c r="D582" s="1" t="s">
        <v>35</v>
      </c>
      <c r="E582" s="1">
        <v>5.0999999999999996</v>
      </c>
      <c r="F582" s="1">
        <v>2.6</v>
      </c>
      <c r="G582" s="1">
        <v>2.06</v>
      </c>
      <c r="H582" s="1">
        <v>1.5</v>
      </c>
      <c r="I582" s="1" t="s">
        <v>40</v>
      </c>
      <c r="J582" s="1">
        <v>7</v>
      </c>
      <c r="K582" s="1">
        <v>5</v>
      </c>
      <c r="L582" s="1">
        <v>2</v>
      </c>
      <c r="M582" s="8">
        <v>0</v>
      </c>
    </row>
    <row r="583" spans="1:13" hidden="1" x14ac:dyDescent="0.25">
      <c r="A583" s="7">
        <v>13</v>
      </c>
      <c r="B583" s="1" t="s">
        <v>37</v>
      </c>
      <c r="C583" s="1">
        <v>7.2</v>
      </c>
      <c r="D583" s="1" t="s">
        <v>41</v>
      </c>
      <c r="E583" s="1">
        <v>4.2</v>
      </c>
      <c r="F583" s="1">
        <v>2.5</v>
      </c>
      <c r="G583" s="1">
        <v>2.65</v>
      </c>
      <c r="H583" s="1">
        <v>1.6</v>
      </c>
      <c r="I583" s="1" t="s">
        <v>36</v>
      </c>
      <c r="J583" s="1">
        <v>10</v>
      </c>
      <c r="K583" s="1">
        <v>9</v>
      </c>
      <c r="L583" s="1">
        <v>3</v>
      </c>
      <c r="M583" s="8">
        <v>1</v>
      </c>
    </row>
    <row r="584" spans="1:13" hidden="1" x14ac:dyDescent="0.25">
      <c r="A584" s="7">
        <v>17</v>
      </c>
      <c r="B584" s="1" t="s">
        <v>37</v>
      </c>
      <c r="C584" s="1">
        <v>2.9</v>
      </c>
      <c r="D584" s="1" t="s">
        <v>41</v>
      </c>
      <c r="E584" s="1">
        <v>7.5</v>
      </c>
      <c r="F584" s="1">
        <v>1.4</v>
      </c>
      <c r="G584" s="1">
        <v>3.42</v>
      </c>
      <c r="H584" s="1">
        <v>1.7</v>
      </c>
      <c r="I584" s="1" t="s">
        <v>36</v>
      </c>
      <c r="J584" s="1">
        <v>5</v>
      </c>
      <c r="K584" s="1">
        <v>6</v>
      </c>
      <c r="L584" s="1">
        <v>3</v>
      </c>
      <c r="M584" s="8">
        <v>0</v>
      </c>
    </row>
    <row r="585" spans="1:13" hidden="1" x14ac:dyDescent="0.25">
      <c r="A585" s="7">
        <v>17</v>
      </c>
      <c r="B585" s="1" t="s">
        <v>34</v>
      </c>
      <c r="C585" s="1">
        <v>6.2</v>
      </c>
      <c r="D585" s="1" t="s">
        <v>35</v>
      </c>
      <c r="E585" s="1">
        <v>7.4</v>
      </c>
      <c r="F585" s="1">
        <v>0.6</v>
      </c>
      <c r="G585" s="1">
        <v>3.38</v>
      </c>
      <c r="H585" s="1">
        <v>1.5</v>
      </c>
      <c r="I585" s="1" t="s">
        <v>36</v>
      </c>
      <c r="J585" s="1">
        <v>4</v>
      </c>
      <c r="K585" s="1">
        <v>7</v>
      </c>
      <c r="L585" s="1">
        <v>9</v>
      </c>
      <c r="M585" s="8">
        <v>0</v>
      </c>
    </row>
    <row r="586" spans="1:13" hidden="1" x14ac:dyDescent="0.25">
      <c r="A586" s="7">
        <v>18</v>
      </c>
      <c r="B586" s="1" t="s">
        <v>37</v>
      </c>
      <c r="C586" s="1">
        <v>1.1000000000000001</v>
      </c>
      <c r="D586" s="1" t="s">
        <v>41</v>
      </c>
      <c r="E586" s="1">
        <v>4.9000000000000004</v>
      </c>
      <c r="F586" s="1">
        <v>2.6</v>
      </c>
      <c r="G586" s="1">
        <v>2.4300000000000002</v>
      </c>
      <c r="H586" s="1">
        <v>1.3</v>
      </c>
      <c r="I586" s="1" t="s">
        <v>39</v>
      </c>
      <c r="J586" s="1">
        <v>9</v>
      </c>
      <c r="K586" s="1">
        <v>7</v>
      </c>
      <c r="L586" s="1">
        <v>6</v>
      </c>
      <c r="M586" s="8">
        <v>0</v>
      </c>
    </row>
    <row r="587" spans="1:13" hidden="1" x14ac:dyDescent="0.25">
      <c r="A587" s="7">
        <v>19</v>
      </c>
      <c r="B587" s="1" t="s">
        <v>34</v>
      </c>
      <c r="C587" s="1">
        <v>5.2</v>
      </c>
      <c r="D587" s="1" t="s">
        <v>35</v>
      </c>
      <c r="E587" s="1">
        <v>4.3</v>
      </c>
      <c r="F587" s="1">
        <v>1.3</v>
      </c>
      <c r="G587" s="1">
        <v>2.29</v>
      </c>
      <c r="H587" s="1">
        <v>1.3</v>
      </c>
      <c r="I587" s="1" t="s">
        <v>40</v>
      </c>
      <c r="J587" s="1">
        <v>10</v>
      </c>
      <c r="K587" s="1">
        <v>8</v>
      </c>
      <c r="L587" s="1">
        <v>10</v>
      </c>
      <c r="M587" s="8">
        <v>1</v>
      </c>
    </row>
    <row r="588" spans="1:13" x14ac:dyDescent="0.25">
      <c r="A588" s="7">
        <v>15</v>
      </c>
      <c r="B588" s="1" t="s">
        <v>37</v>
      </c>
      <c r="C588" s="1">
        <v>5</v>
      </c>
      <c r="D588" s="1" t="s">
        <v>35</v>
      </c>
      <c r="E588" s="1">
        <v>7.6</v>
      </c>
      <c r="F588" s="1">
        <v>1.8</v>
      </c>
      <c r="G588" s="1">
        <v>2.52</v>
      </c>
      <c r="H588" s="1">
        <v>1.4</v>
      </c>
      <c r="I588" s="1" t="s">
        <v>39</v>
      </c>
      <c r="J588" s="1">
        <v>1</v>
      </c>
      <c r="K588" s="1">
        <v>4</v>
      </c>
      <c r="L588" s="1">
        <v>3</v>
      </c>
      <c r="M588" s="8">
        <v>0</v>
      </c>
    </row>
    <row r="589" spans="1:13" hidden="1" x14ac:dyDescent="0.25">
      <c r="A589" s="7">
        <v>13</v>
      </c>
      <c r="B589" s="1" t="s">
        <v>37</v>
      </c>
      <c r="C589" s="1">
        <v>2.2999999999999998</v>
      </c>
      <c r="D589" s="1" t="s">
        <v>38</v>
      </c>
      <c r="E589" s="1">
        <v>8.6999999999999993</v>
      </c>
      <c r="F589" s="1">
        <v>1.2</v>
      </c>
      <c r="G589" s="1">
        <v>3.25</v>
      </c>
      <c r="H589" s="1">
        <v>1.5</v>
      </c>
      <c r="I589" s="1" t="s">
        <v>39</v>
      </c>
      <c r="J589" s="1">
        <v>9</v>
      </c>
      <c r="K589" s="1">
        <v>9</v>
      </c>
      <c r="L589" s="1">
        <v>1</v>
      </c>
      <c r="M589" s="8">
        <v>0</v>
      </c>
    </row>
    <row r="590" spans="1:13" hidden="1" x14ac:dyDescent="0.25">
      <c r="A590" s="7">
        <v>15</v>
      </c>
      <c r="B590" s="1" t="s">
        <v>37</v>
      </c>
      <c r="C590" s="1">
        <v>5.2</v>
      </c>
      <c r="D590" s="1" t="s">
        <v>38</v>
      </c>
      <c r="E590" s="1">
        <v>5.6</v>
      </c>
      <c r="F590" s="1">
        <v>1.5</v>
      </c>
      <c r="G590" s="1">
        <v>3.13</v>
      </c>
      <c r="H590" s="1">
        <v>0.1</v>
      </c>
      <c r="I590" s="1" t="s">
        <v>36</v>
      </c>
      <c r="J590" s="1">
        <v>7</v>
      </c>
      <c r="K590" s="1">
        <v>9</v>
      </c>
      <c r="L590" s="1">
        <v>4</v>
      </c>
      <c r="M590" s="8">
        <v>1</v>
      </c>
    </row>
    <row r="591" spans="1:13" hidden="1" x14ac:dyDescent="0.25">
      <c r="A591" s="7">
        <v>13</v>
      </c>
      <c r="B591" s="1" t="s">
        <v>37</v>
      </c>
      <c r="C591" s="1">
        <v>3.5</v>
      </c>
      <c r="D591" s="1" t="s">
        <v>41</v>
      </c>
      <c r="E591" s="1">
        <v>8.6999999999999993</v>
      </c>
      <c r="F591" s="1">
        <v>1.4</v>
      </c>
      <c r="G591" s="1">
        <v>3.5</v>
      </c>
      <c r="H591" s="1">
        <v>1.3</v>
      </c>
      <c r="I591" s="1" t="s">
        <v>39</v>
      </c>
      <c r="J591" s="1">
        <v>9</v>
      </c>
      <c r="K591" s="1">
        <v>4</v>
      </c>
      <c r="L591" s="1">
        <v>5</v>
      </c>
      <c r="M591" s="8">
        <v>0</v>
      </c>
    </row>
    <row r="592" spans="1:13" hidden="1" x14ac:dyDescent="0.25">
      <c r="A592" s="7">
        <v>16</v>
      </c>
      <c r="B592" s="1" t="s">
        <v>37</v>
      </c>
      <c r="C592" s="1">
        <v>3.5</v>
      </c>
      <c r="D592" s="1" t="s">
        <v>41</v>
      </c>
      <c r="E592" s="1">
        <v>4.2</v>
      </c>
      <c r="F592" s="1">
        <v>1.5</v>
      </c>
      <c r="G592" s="1">
        <v>3.98</v>
      </c>
      <c r="H592" s="1">
        <v>0.4</v>
      </c>
      <c r="I592" s="1" t="s">
        <v>40</v>
      </c>
      <c r="J592" s="1">
        <v>1</v>
      </c>
      <c r="K592" s="1">
        <v>7</v>
      </c>
      <c r="L592" s="1">
        <v>2</v>
      </c>
      <c r="M592" s="8">
        <v>0</v>
      </c>
    </row>
    <row r="593" spans="1:13" hidden="1" x14ac:dyDescent="0.25">
      <c r="A593" s="7">
        <v>19</v>
      </c>
      <c r="B593" s="1" t="s">
        <v>34</v>
      </c>
      <c r="C593" s="1">
        <v>7.7</v>
      </c>
      <c r="D593" s="1" t="s">
        <v>35</v>
      </c>
      <c r="E593" s="1">
        <v>4.2</v>
      </c>
      <c r="F593" s="1">
        <v>2.6</v>
      </c>
      <c r="G593" s="1">
        <v>2.2000000000000002</v>
      </c>
      <c r="H593" s="1">
        <v>1.8</v>
      </c>
      <c r="I593" s="1" t="s">
        <v>36</v>
      </c>
      <c r="J593" s="1">
        <v>8</v>
      </c>
      <c r="K593" s="1">
        <v>9</v>
      </c>
      <c r="L593" s="1">
        <v>4</v>
      </c>
      <c r="M593" s="8">
        <v>1</v>
      </c>
    </row>
    <row r="594" spans="1:13" hidden="1" x14ac:dyDescent="0.25">
      <c r="A594" s="7">
        <v>18</v>
      </c>
      <c r="B594" s="1" t="s">
        <v>37</v>
      </c>
      <c r="C594" s="1">
        <v>2</v>
      </c>
      <c r="D594" s="1" t="s">
        <v>41</v>
      </c>
      <c r="E594" s="1">
        <v>8.6</v>
      </c>
      <c r="F594" s="1">
        <v>2.2000000000000002</v>
      </c>
      <c r="G594" s="1">
        <v>3.53</v>
      </c>
      <c r="H594" s="1">
        <v>1.9</v>
      </c>
      <c r="I594" s="1" t="s">
        <v>36</v>
      </c>
      <c r="J594" s="1">
        <v>2</v>
      </c>
      <c r="K594" s="1">
        <v>5</v>
      </c>
      <c r="L594" s="1">
        <v>8</v>
      </c>
      <c r="M594" s="8">
        <v>0</v>
      </c>
    </row>
    <row r="595" spans="1:13" hidden="1" x14ac:dyDescent="0.25">
      <c r="A595" s="7">
        <v>13</v>
      </c>
      <c r="B595" s="1" t="s">
        <v>37</v>
      </c>
      <c r="C595" s="1">
        <v>5.0999999999999996</v>
      </c>
      <c r="D595" s="1" t="s">
        <v>38</v>
      </c>
      <c r="E595" s="1">
        <v>4.5</v>
      </c>
      <c r="F595" s="1">
        <v>2.7</v>
      </c>
      <c r="G595" s="1">
        <v>2.54</v>
      </c>
      <c r="H595" s="1">
        <v>1.4</v>
      </c>
      <c r="I595" s="1" t="s">
        <v>39</v>
      </c>
      <c r="J595" s="1">
        <v>2</v>
      </c>
      <c r="K595" s="1">
        <v>3</v>
      </c>
      <c r="L595" s="1">
        <v>10</v>
      </c>
      <c r="M595" s="8">
        <v>0</v>
      </c>
    </row>
    <row r="596" spans="1:13" hidden="1" x14ac:dyDescent="0.25">
      <c r="A596" s="7">
        <v>16</v>
      </c>
      <c r="B596" s="1" t="s">
        <v>34</v>
      </c>
      <c r="C596" s="1">
        <v>2</v>
      </c>
      <c r="D596" s="1" t="s">
        <v>35</v>
      </c>
      <c r="E596" s="1">
        <v>7.9</v>
      </c>
      <c r="F596" s="1">
        <v>2.4</v>
      </c>
      <c r="G596" s="1">
        <v>2.81</v>
      </c>
      <c r="H596" s="1">
        <v>1.9</v>
      </c>
      <c r="I596" s="1" t="s">
        <v>36</v>
      </c>
      <c r="J596" s="1">
        <v>10</v>
      </c>
      <c r="K596" s="1">
        <v>6</v>
      </c>
      <c r="L596" s="1">
        <v>6</v>
      </c>
      <c r="M596" s="8">
        <v>0</v>
      </c>
    </row>
    <row r="597" spans="1:13" hidden="1" x14ac:dyDescent="0.25">
      <c r="A597" s="7">
        <v>15</v>
      </c>
      <c r="B597" s="1" t="s">
        <v>34</v>
      </c>
      <c r="C597" s="1">
        <v>4.7</v>
      </c>
      <c r="D597" s="1" t="s">
        <v>35</v>
      </c>
      <c r="E597" s="1">
        <v>8.4</v>
      </c>
      <c r="F597" s="1">
        <v>1.9</v>
      </c>
      <c r="G597" s="1">
        <v>3.9</v>
      </c>
      <c r="H597" s="1">
        <v>1</v>
      </c>
      <c r="I597" s="1" t="s">
        <v>39</v>
      </c>
      <c r="J597" s="1">
        <v>4</v>
      </c>
      <c r="K597" s="1">
        <v>10</v>
      </c>
      <c r="L597" s="1">
        <v>6</v>
      </c>
      <c r="M597" s="8">
        <v>0</v>
      </c>
    </row>
    <row r="598" spans="1:13" hidden="1" x14ac:dyDescent="0.25">
      <c r="A598" s="7">
        <v>17</v>
      </c>
      <c r="B598" s="1" t="s">
        <v>37</v>
      </c>
      <c r="C598" s="1">
        <v>6.9</v>
      </c>
      <c r="D598" s="1" t="s">
        <v>38</v>
      </c>
      <c r="E598" s="1">
        <v>6.1</v>
      </c>
      <c r="F598" s="1">
        <v>2.4</v>
      </c>
      <c r="G598" s="1">
        <v>3.77</v>
      </c>
      <c r="H598" s="1">
        <v>1.1000000000000001</v>
      </c>
      <c r="I598" s="1" t="s">
        <v>40</v>
      </c>
      <c r="J598" s="1">
        <v>9</v>
      </c>
      <c r="K598" s="1">
        <v>4</v>
      </c>
      <c r="L598" s="1">
        <v>9</v>
      </c>
      <c r="M598" s="8">
        <v>0</v>
      </c>
    </row>
    <row r="599" spans="1:13" hidden="1" x14ac:dyDescent="0.25">
      <c r="A599" s="7">
        <v>18</v>
      </c>
      <c r="B599" s="1" t="s">
        <v>34</v>
      </c>
      <c r="C599" s="1">
        <v>5.9</v>
      </c>
      <c r="D599" s="1" t="s">
        <v>35</v>
      </c>
      <c r="E599" s="1">
        <v>4.4000000000000004</v>
      </c>
      <c r="F599" s="1">
        <v>2.7</v>
      </c>
      <c r="G599" s="1">
        <v>2.09</v>
      </c>
      <c r="H599" s="1">
        <v>1.8</v>
      </c>
      <c r="I599" s="1" t="s">
        <v>39</v>
      </c>
      <c r="J599" s="1">
        <v>1</v>
      </c>
      <c r="K599" s="1">
        <v>6</v>
      </c>
      <c r="L599" s="1">
        <v>6</v>
      </c>
      <c r="M599" s="8">
        <v>0</v>
      </c>
    </row>
    <row r="600" spans="1:13" hidden="1" x14ac:dyDescent="0.25">
      <c r="A600" s="7">
        <v>19</v>
      </c>
      <c r="B600" s="1" t="s">
        <v>34</v>
      </c>
      <c r="C600" s="1">
        <v>2.7</v>
      </c>
      <c r="D600" s="1" t="s">
        <v>35</v>
      </c>
      <c r="E600" s="1">
        <v>6.3</v>
      </c>
      <c r="F600" s="1">
        <v>1.3</v>
      </c>
      <c r="G600" s="1">
        <v>3.91</v>
      </c>
      <c r="H600" s="1">
        <v>1.2</v>
      </c>
      <c r="I600" s="1" t="s">
        <v>39</v>
      </c>
      <c r="J600" s="1">
        <v>7</v>
      </c>
      <c r="K600" s="1">
        <v>5</v>
      </c>
      <c r="L600" s="1">
        <v>7</v>
      </c>
      <c r="M600" s="8">
        <v>0</v>
      </c>
    </row>
    <row r="601" spans="1:13" hidden="1" x14ac:dyDescent="0.25">
      <c r="A601" s="7">
        <v>16</v>
      </c>
      <c r="B601" s="1" t="s">
        <v>34</v>
      </c>
      <c r="C601" s="1">
        <v>7.9</v>
      </c>
      <c r="D601" s="1" t="s">
        <v>38</v>
      </c>
      <c r="E601" s="1">
        <v>8</v>
      </c>
      <c r="F601" s="1">
        <v>1.6</v>
      </c>
      <c r="G601" s="1">
        <v>3.47</v>
      </c>
      <c r="H601" s="1">
        <v>1.5</v>
      </c>
      <c r="I601" s="1" t="s">
        <v>39</v>
      </c>
      <c r="J601" s="1">
        <v>3</v>
      </c>
      <c r="K601" s="1">
        <v>5</v>
      </c>
      <c r="L601" s="1">
        <v>6</v>
      </c>
      <c r="M601" s="8">
        <v>0</v>
      </c>
    </row>
    <row r="602" spans="1:13" hidden="1" x14ac:dyDescent="0.25">
      <c r="A602" s="7">
        <v>16</v>
      </c>
      <c r="B602" s="1" t="s">
        <v>37</v>
      </c>
      <c r="C602" s="1">
        <v>7.4</v>
      </c>
      <c r="D602" s="1" t="s">
        <v>38</v>
      </c>
      <c r="E602" s="1">
        <v>5.5</v>
      </c>
      <c r="F602" s="1">
        <v>1.8</v>
      </c>
      <c r="G602" s="1">
        <v>2.13</v>
      </c>
      <c r="H602" s="1">
        <v>0.3</v>
      </c>
      <c r="I602" s="1" t="s">
        <v>39</v>
      </c>
      <c r="J602" s="1">
        <v>7</v>
      </c>
      <c r="K602" s="1">
        <v>9</v>
      </c>
      <c r="L602" s="1">
        <v>9</v>
      </c>
      <c r="M602" s="8">
        <v>1</v>
      </c>
    </row>
    <row r="603" spans="1:13" x14ac:dyDescent="0.25">
      <c r="A603" s="7">
        <v>17</v>
      </c>
      <c r="B603" s="1" t="s">
        <v>37</v>
      </c>
      <c r="C603" s="1">
        <v>2.2999999999999998</v>
      </c>
      <c r="D603" s="1" t="s">
        <v>35</v>
      </c>
      <c r="E603" s="1">
        <v>4.9000000000000004</v>
      </c>
      <c r="F603" s="1">
        <v>1.7</v>
      </c>
      <c r="G603" s="1">
        <v>2.0699999999999998</v>
      </c>
      <c r="H603" s="1">
        <v>0.3</v>
      </c>
      <c r="I603" s="1" t="s">
        <v>40</v>
      </c>
      <c r="J603" s="1">
        <v>3</v>
      </c>
      <c r="K603" s="1">
        <v>7</v>
      </c>
      <c r="L603" s="1">
        <v>7</v>
      </c>
      <c r="M603" s="8">
        <v>0</v>
      </c>
    </row>
    <row r="604" spans="1:13" hidden="1" x14ac:dyDescent="0.25">
      <c r="A604" s="7">
        <v>13</v>
      </c>
      <c r="B604" s="1" t="s">
        <v>34</v>
      </c>
      <c r="C604" s="1">
        <v>7.1</v>
      </c>
      <c r="D604" s="1" t="s">
        <v>41</v>
      </c>
      <c r="E604" s="1">
        <v>5.7</v>
      </c>
      <c r="F604" s="1">
        <v>2.1</v>
      </c>
      <c r="G604" s="1">
        <v>3.52</v>
      </c>
      <c r="H604" s="1">
        <v>1.7</v>
      </c>
      <c r="I604" s="1" t="s">
        <v>36</v>
      </c>
      <c r="J604" s="1">
        <v>1</v>
      </c>
      <c r="K604" s="1">
        <v>1</v>
      </c>
      <c r="L604" s="1">
        <v>3</v>
      </c>
      <c r="M604" s="8">
        <v>0</v>
      </c>
    </row>
    <row r="605" spans="1:13" hidden="1" x14ac:dyDescent="0.25">
      <c r="A605" s="7">
        <v>16</v>
      </c>
      <c r="B605" s="1" t="s">
        <v>34</v>
      </c>
      <c r="C605" s="1">
        <v>6.9</v>
      </c>
      <c r="D605" s="1" t="s">
        <v>35</v>
      </c>
      <c r="E605" s="1">
        <v>6.8</v>
      </c>
      <c r="F605" s="1">
        <v>1.1000000000000001</v>
      </c>
      <c r="G605" s="1">
        <v>3.33</v>
      </c>
      <c r="H605" s="1">
        <v>1</v>
      </c>
      <c r="I605" s="1" t="s">
        <v>40</v>
      </c>
      <c r="J605" s="1">
        <v>7</v>
      </c>
      <c r="K605" s="1">
        <v>9</v>
      </c>
      <c r="L605" s="1">
        <v>4</v>
      </c>
      <c r="M605" s="8">
        <v>0</v>
      </c>
    </row>
    <row r="606" spans="1:13" hidden="1" x14ac:dyDescent="0.25">
      <c r="A606" s="7">
        <v>16</v>
      </c>
      <c r="B606" s="1" t="s">
        <v>37</v>
      </c>
      <c r="C606" s="1">
        <v>5.6</v>
      </c>
      <c r="D606" s="1" t="s">
        <v>38</v>
      </c>
      <c r="E606" s="1">
        <v>7.9</v>
      </c>
      <c r="F606" s="1">
        <v>2</v>
      </c>
      <c r="G606" s="1">
        <v>3.91</v>
      </c>
      <c r="H606" s="1">
        <v>0.6</v>
      </c>
      <c r="I606" s="1" t="s">
        <v>40</v>
      </c>
      <c r="J606" s="1">
        <v>7</v>
      </c>
      <c r="K606" s="1">
        <v>3</v>
      </c>
      <c r="L606" s="1">
        <v>10</v>
      </c>
      <c r="M606" s="8">
        <v>0</v>
      </c>
    </row>
    <row r="607" spans="1:13" hidden="1" x14ac:dyDescent="0.25">
      <c r="A607" s="7">
        <v>16</v>
      </c>
      <c r="B607" s="1" t="s">
        <v>37</v>
      </c>
      <c r="C607" s="1">
        <v>5.2</v>
      </c>
      <c r="D607" s="1" t="s">
        <v>38</v>
      </c>
      <c r="E607" s="1">
        <v>8.1</v>
      </c>
      <c r="F607" s="1">
        <v>2.1</v>
      </c>
      <c r="G607" s="1">
        <v>2.67</v>
      </c>
      <c r="H607" s="1">
        <v>1.7</v>
      </c>
      <c r="I607" s="1" t="s">
        <v>40</v>
      </c>
      <c r="J607" s="1">
        <v>9</v>
      </c>
      <c r="K607" s="1">
        <v>10</v>
      </c>
      <c r="L607" s="1">
        <v>10</v>
      </c>
      <c r="M607" s="8">
        <v>0</v>
      </c>
    </row>
    <row r="608" spans="1:13" hidden="1" x14ac:dyDescent="0.25">
      <c r="A608" s="7">
        <v>17</v>
      </c>
      <c r="B608" s="1" t="s">
        <v>34</v>
      </c>
      <c r="C608" s="1">
        <v>4.5</v>
      </c>
      <c r="D608" s="1" t="s">
        <v>41</v>
      </c>
      <c r="E608" s="1">
        <v>4.9000000000000004</v>
      </c>
      <c r="F608" s="1">
        <v>0.5</v>
      </c>
      <c r="G608" s="1">
        <v>3.44</v>
      </c>
      <c r="H608" s="1">
        <v>1.2</v>
      </c>
      <c r="I608" s="1" t="s">
        <v>40</v>
      </c>
      <c r="J608" s="1">
        <v>5</v>
      </c>
      <c r="K608" s="1">
        <v>3</v>
      </c>
      <c r="L608" s="1">
        <v>1</v>
      </c>
      <c r="M608" s="8">
        <v>0</v>
      </c>
    </row>
    <row r="609" spans="1:13" hidden="1" x14ac:dyDescent="0.25">
      <c r="A609" s="7">
        <v>14</v>
      </c>
      <c r="B609" s="1" t="s">
        <v>34</v>
      </c>
      <c r="C609" s="1">
        <v>3.6</v>
      </c>
      <c r="D609" s="1" t="s">
        <v>38</v>
      </c>
      <c r="E609" s="1">
        <v>4</v>
      </c>
      <c r="F609" s="1">
        <v>1.4</v>
      </c>
      <c r="G609" s="1">
        <v>3.83</v>
      </c>
      <c r="H609" s="1">
        <v>0.5</v>
      </c>
      <c r="I609" s="1" t="s">
        <v>40</v>
      </c>
      <c r="J609" s="1">
        <v>1</v>
      </c>
      <c r="K609" s="1">
        <v>5</v>
      </c>
      <c r="L609" s="1">
        <v>2</v>
      </c>
      <c r="M609" s="8">
        <v>0</v>
      </c>
    </row>
    <row r="610" spans="1:13" hidden="1" x14ac:dyDescent="0.25">
      <c r="A610" s="7">
        <v>19</v>
      </c>
      <c r="B610" s="1" t="s">
        <v>34</v>
      </c>
      <c r="C610" s="1">
        <v>7.2</v>
      </c>
      <c r="D610" s="1" t="s">
        <v>35</v>
      </c>
      <c r="E610" s="1">
        <v>5</v>
      </c>
      <c r="F610" s="1">
        <v>2.2000000000000002</v>
      </c>
      <c r="G610" s="1">
        <v>2.5</v>
      </c>
      <c r="H610" s="1">
        <v>0.7</v>
      </c>
      <c r="I610" s="1" t="s">
        <v>39</v>
      </c>
      <c r="J610" s="1">
        <v>6</v>
      </c>
      <c r="K610" s="1">
        <v>9</v>
      </c>
      <c r="L610" s="1">
        <v>2</v>
      </c>
      <c r="M610" s="8">
        <v>0</v>
      </c>
    </row>
    <row r="611" spans="1:13" hidden="1" x14ac:dyDescent="0.25">
      <c r="A611" s="7">
        <v>17</v>
      </c>
      <c r="B611" s="1" t="s">
        <v>34</v>
      </c>
      <c r="C611" s="1">
        <v>6.4</v>
      </c>
      <c r="D611" s="1" t="s">
        <v>38</v>
      </c>
      <c r="E611" s="1">
        <v>8.6</v>
      </c>
      <c r="F611" s="1">
        <v>2.2999999999999998</v>
      </c>
      <c r="G611" s="1">
        <v>2.57</v>
      </c>
      <c r="H611" s="1">
        <v>1.3</v>
      </c>
      <c r="I611" s="1" t="s">
        <v>36</v>
      </c>
      <c r="J611" s="1">
        <v>9</v>
      </c>
      <c r="K611" s="1">
        <v>10</v>
      </c>
      <c r="L611" s="1">
        <v>5</v>
      </c>
      <c r="M611" s="8">
        <v>0</v>
      </c>
    </row>
    <row r="612" spans="1:13" hidden="1" x14ac:dyDescent="0.25">
      <c r="A612" s="7">
        <v>15</v>
      </c>
      <c r="B612" s="1" t="s">
        <v>34</v>
      </c>
      <c r="C612" s="1">
        <v>7.1</v>
      </c>
      <c r="D612" s="1" t="s">
        <v>41</v>
      </c>
      <c r="E612" s="1">
        <v>6.5</v>
      </c>
      <c r="F612" s="1">
        <v>0.7</v>
      </c>
      <c r="G612" s="1">
        <v>3.94</v>
      </c>
      <c r="H612" s="1">
        <v>0.2</v>
      </c>
      <c r="I612" s="1" t="s">
        <v>40</v>
      </c>
      <c r="J612" s="1">
        <v>4</v>
      </c>
      <c r="K612" s="1">
        <v>7</v>
      </c>
      <c r="L612" s="1">
        <v>1</v>
      </c>
      <c r="M612" s="8">
        <v>0</v>
      </c>
    </row>
    <row r="613" spans="1:13" hidden="1" x14ac:dyDescent="0.25">
      <c r="A613" s="7">
        <v>18</v>
      </c>
      <c r="B613" s="1" t="s">
        <v>34</v>
      </c>
      <c r="C613" s="1">
        <v>1.2</v>
      </c>
      <c r="D613" s="1" t="s">
        <v>41</v>
      </c>
      <c r="E613" s="1">
        <v>4.0999999999999996</v>
      </c>
      <c r="F613" s="1">
        <v>1.1000000000000001</v>
      </c>
      <c r="G613" s="1">
        <v>3.04</v>
      </c>
      <c r="H613" s="1">
        <v>1.6</v>
      </c>
      <c r="I613" s="1" t="s">
        <v>36</v>
      </c>
      <c r="J613" s="1">
        <v>1</v>
      </c>
      <c r="K613" s="1">
        <v>3</v>
      </c>
      <c r="L613" s="1">
        <v>6</v>
      </c>
      <c r="M613" s="8">
        <v>0</v>
      </c>
    </row>
    <row r="614" spans="1:13" hidden="1" x14ac:dyDescent="0.25">
      <c r="A614" s="7">
        <v>19</v>
      </c>
      <c r="B614" s="1" t="s">
        <v>34</v>
      </c>
      <c r="C614" s="1">
        <v>6.6</v>
      </c>
      <c r="D614" s="1" t="s">
        <v>38</v>
      </c>
      <c r="E614" s="1">
        <v>8.8000000000000007</v>
      </c>
      <c r="F614" s="1">
        <v>0.9</v>
      </c>
      <c r="G614" s="1">
        <v>3.84</v>
      </c>
      <c r="H614" s="1">
        <v>0.3</v>
      </c>
      <c r="I614" s="1" t="s">
        <v>39</v>
      </c>
      <c r="J614" s="1">
        <v>10</v>
      </c>
      <c r="K614" s="1">
        <v>10</v>
      </c>
      <c r="L614" s="1">
        <v>6</v>
      </c>
      <c r="M614" s="8">
        <v>0</v>
      </c>
    </row>
    <row r="615" spans="1:13" hidden="1" x14ac:dyDescent="0.25">
      <c r="A615" s="7">
        <v>19</v>
      </c>
      <c r="B615" s="1" t="s">
        <v>37</v>
      </c>
      <c r="C615" s="1">
        <v>6.5</v>
      </c>
      <c r="D615" s="1" t="s">
        <v>38</v>
      </c>
      <c r="E615" s="1">
        <v>6.4</v>
      </c>
      <c r="F615" s="1">
        <v>1.1000000000000001</v>
      </c>
      <c r="G615" s="1">
        <v>3.71</v>
      </c>
      <c r="H615" s="1">
        <v>1.2</v>
      </c>
      <c r="I615" s="1" t="s">
        <v>36</v>
      </c>
      <c r="J615" s="1">
        <v>8</v>
      </c>
      <c r="K615" s="1">
        <v>9</v>
      </c>
      <c r="L615" s="1">
        <v>8</v>
      </c>
      <c r="M615" s="8">
        <v>0</v>
      </c>
    </row>
    <row r="616" spans="1:13" hidden="1" x14ac:dyDescent="0.25">
      <c r="A616" s="7">
        <v>16</v>
      </c>
      <c r="B616" s="1" t="s">
        <v>34</v>
      </c>
      <c r="C616" s="1">
        <v>2</v>
      </c>
      <c r="D616" s="1" t="s">
        <v>38</v>
      </c>
      <c r="E616" s="1">
        <v>4.4000000000000004</v>
      </c>
      <c r="F616" s="1">
        <v>0.7</v>
      </c>
      <c r="G616" s="1">
        <v>2.68</v>
      </c>
      <c r="H616" s="1">
        <v>0.8</v>
      </c>
      <c r="I616" s="1" t="s">
        <v>40</v>
      </c>
      <c r="J616" s="1">
        <v>1</v>
      </c>
      <c r="K616" s="1">
        <v>4</v>
      </c>
      <c r="L616" s="1">
        <v>10</v>
      </c>
      <c r="M616" s="8">
        <v>0</v>
      </c>
    </row>
    <row r="617" spans="1:13" hidden="1" x14ac:dyDescent="0.25">
      <c r="A617" s="7">
        <v>13</v>
      </c>
      <c r="B617" s="1" t="s">
        <v>34</v>
      </c>
      <c r="C617" s="1">
        <v>2.5</v>
      </c>
      <c r="D617" s="1" t="s">
        <v>35</v>
      </c>
      <c r="E617" s="1">
        <v>5.3</v>
      </c>
      <c r="F617" s="1">
        <v>0.8</v>
      </c>
      <c r="G617" s="1">
        <v>3.12</v>
      </c>
      <c r="H617" s="1">
        <v>0.4</v>
      </c>
      <c r="I617" s="1" t="s">
        <v>39</v>
      </c>
      <c r="J617" s="1">
        <v>3</v>
      </c>
      <c r="K617" s="1">
        <v>5</v>
      </c>
      <c r="L617" s="1">
        <v>3</v>
      </c>
      <c r="M617" s="8">
        <v>0</v>
      </c>
    </row>
    <row r="618" spans="1:13" hidden="1" x14ac:dyDescent="0.25">
      <c r="A618" s="7">
        <v>19</v>
      </c>
      <c r="B618" s="1" t="s">
        <v>34</v>
      </c>
      <c r="C618" s="1">
        <v>2.1</v>
      </c>
      <c r="D618" s="1" t="s">
        <v>35</v>
      </c>
      <c r="E618" s="1">
        <v>8.8000000000000007</v>
      </c>
      <c r="F618" s="1">
        <v>2.2999999999999998</v>
      </c>
      <c r="G618" s="1">
        <v>2.2200000000000002</v>
      </c>
      <c r="H618" s="1">
        <v>1.2</v>
      </c>
      <c r="I618" s="1" t="s">
        <v>39</v>
      </c>
      <c r="J618" s="1">
        <v>5</v>
      </c>
      <c r="K618" s="1">
        <v>5</v>
      </c>
      <c r="L618" s="1">
        <v>3</v>
      </c>
      <c r="M618" s="8">
        <v>0</v>
      </c>
    </row>
    <row r="619" spans="1:13" hidden="1" x14ac:dyDescent="0.25">
      <c r="A619" s="7">
        <v>16</v>
      </c>
      <c r="B619" s="1" t="s">
        <v>37</v>
      </c>
      <c r="C619" s="1">
        <v>7.1</v>
      </c>
      <c r="D619" s="1" t="s">
        <v>38</v>
      </c>
      <c r="E619" s="1">
        <v>8.8000000000000007</v>
      </c>
      <c r="F619" s="1">
        <v>1.8</v>
      </c>
      <c r="G619" s="1">
        <v>3.99</v>
      </c>
      <c r="H619" s="1">
        <v>0.8</v>
      </c>
      <c r="I619" s="1" t="s">
        <v>36</v>
      </c>
      <c r="J619" s="1">
        <v>6</v>
      </c>
      <c r="K619" s="1">
        <v>10</v>
      </c>
      <c r="L619" s="1">
        <v>8</v>
      </c>
      <c r="M619" s="8">
        <v>0</v>
      </c>
    </row>
    <row r="620" spans="1:13" hidden="1" x14ac:dyDescent="0.25">
      <c r="A620" s="7">
        <v>19</v>
      </c>
      <c r="B620" s="1" t="s">
        <v>37</v>
      </c>
      <c r="C620" s="1">
        <v>6.8</v>
      </c>
      <c r="D620" s="1" t="s">
        <v>41</v>
      </c>
      <c r="E620" s="1">
        <v>4.4000000000000004</v>
      </c>
      <c r="F620" s="1">
        <v>2.1</v>
      </c>
      <c r="G620" s="1">
        <v>3.69</v>
      </c>
      <c r="H620" s="1">
        <v>0.4</v>
      </c>
      <c r="I620" s="1" t="s">
        <v>39</v>
      </c>
      <c r="J620" s="1">
        <v>3</v>
      </c>
      <c r="K620" s="1">
        <v>2</v>
      </c>
      <c r="L620" s="1">
        <v>8</v>
      </c>
      <c r="M620" s="8">
        <v>0</v>
      </c>
    </row>
    <row r="621" spans="1:13" hidden="1" x14ac:dyDescent="0.25">
      <c r="A621" s="7">
        <v>13</v>
      </c>
      <c r="B621" s="1" t="s">
        <v>34</v>
      </c>
      <c r="C621" s="1">
        <v>5.2</v>
      </c>
      <c r="D621" s="1" t="s">
        <v>41</v>
      </c>
      <c r="E621" s="1">
        <v>5.4</v>
      </c>
      <c r="F621" s="1">
        <v>0.8</v>
      </c>
      <c r="G621" s="1">
        <v>2.39</v>
      </c>
      <c r="H621" s="1">
        <v>2</v>
      </c>
      <c r="I621" s="1" t="s">
        <v>36</v>
      </c>
      <c r="J621" s="1">
        <v>8</v>
      </c>
      <c r="K621" s="1">
        <v>3</v>
      </c>
      <c r="L621" s="1">
        <v>10</v>
      </c>
      <c r="M621" s="8">
        <v>0</v>
      </c>
    </row>
    <row r="622" spans="1:13" hidden="1" x14ac:dyDescent="0.25">
      <c r="A622" s="7">
        <v>19</v>
      </c>
      <c r="B622" s="1" t="s">
        <v>34</v>
      </c>
      <c r="C622" s="1">
        <v>7</v>
      </c>
      <c r="D622" s="1" t="s">
        <v>38</v>
      </c>
      <c r="E622" s="1">
        <v>4.5</v>
      </c>
      <c r="F622" s="1">
        <v>2.2999999999999998</v>
      </c>
      <c r="G622" s="1">
        <v>3.26</v>
      </c>
      <c r="H622" s="1">
        <v>1.7</v>
      </c>
      <c r="I622" s="1" t="s">
        <v>39</v>
      </c>
      <c r="J622" s="1">
        <v>9</v>
      </c>
      <c r="K622" s="1">
        <v>10</v>
      </c>
      <c r="L622" s="1">
        <v>3</v>
      </c>
      <c r="M622" s="8">
        <v>1</v>
      </c>
    </row>
    <row r="623" spans="1:13" hidden="1" x14ac:dyDescent="0.25">
      <c r="A623" s="7">
        <v>19</v>
      </c>
      <c r="B623" s="1" t="s">
        <v>34</v>
      </c>
      <c r="C623" s="1">
        <v>6.8</v>
      </c>
      <c r="D623" s="1" t="s">
        <v>38</v>
      </c>
      <c r="E623" s="1">
        <v>8.4</v>
      </c>
      <c r="F623" s="1">
        <v>2</v>
      </c>
      <c r="G623" s="1">
        <v>2.6</v>
      </c>
      <c r="H623" s="1">
        <v>1.5</v>
      </c>
      <c r="I623" s="1" t="s">
        <v>36</v>
      </c>
      <c r="J623" s="1">
        <v>7</v>
      </c>
      <c r="K623" s="1">
        <v>2</v>
      </c>
      <c r="L623" s="1">
        <v>2</v>
      </c>
      <c r="M623" s="8">
        <v>0</v>
      </c>
    </row>
    <row r="624" spans="1:13" hidden="1" x14ac:dyDescent="0.25">
      <c r="A624" s="7">
        <v>16</v>
      </c>
      <c r="B624" s="1" t="s">
        <v>37</v>
      </c>
      <c r="C624" s="1">
        <v>3.8</v>
      </c>
      <c r="D624" s="1" t="s">
        <v>38</v>
      </c>
      <c r="E624" s="1">
        <v>5.3</v>
      </c>
      <c r="F624" s="1">
        <v>1.5</v>
      </c>
      <c r="G624" s="1">
        <v>2.04</v>
      </c>
      <c r="H624" s="1">
        <v>1.5</v>
      </c>
      <c r="I624" s="1" t="s">
        <v>39</v>
      </c>
      <c r="J624" s="1">
        <v>5</v>
      </c>
      <c r="K624" s="1">
        <v>10</v>
      </c>
      <c r="L624" s="1">
        <v>5</v>
      </c>
      <c r="M624" s="8">
        <v>0</v>
      </c>
    </row>
    <row r="625" spans="1:13" hidden="1" x14ac:dyDescent="0.25">
      <c r="A625" s="7">
        <v>14</v>
      </c>
      <c r="B625" s="1" t="s">
        <v>34</v>
      </c>
      <c r="C625" s="1">
        <v>2.9</v>
      </c>
      <c r="D625" s="1" t="s">
        <v>35</v>
      </c>
      <c r="E625" s="1">
        <v>7.2</v>
      </c>
      <c r="F625" s="1">
        <v>2</v>
      </c>
      <c r="G625" s="1">
        <v>3.96</v>
      </c>
      <c r="H625" s="1">
        <v>1.5</v>
      </c>
      <c r="I625" s="1" t="s">
        <v>40</v>
      </c>
      <c r="J625" s="1">
        <v>9</v>
      </c>
      <c r="K625" s="1">
        <v>10</v>
      </c>
      <c r="L625" s="1">
        <v>4</v>
      </c>
      <c r="M625" s="8">
        <v>0</v>
      </c>
    </row>
    <row r="626" spans="1:13" hidden="1" x14ac:dyDescent="0.25">
      <c r="A626" s="7">
        <v>16</v>
      </c>
      <c r="B626" s="1" t="s">
        <v>34</v>
      </c>
      <c r="C626" s="1">
        <v>3.6</v>
      </c>
      <c r="D626" s="1" t="s">
        <v>35</v>
      </c>
      <c r="E626" s="1">
        <v>6.6</v>
      </c>
      <c r="F626" s="1">
        <v>0.7</v>
      </c>
      <c r="G626" s="1">
        <v>2.25</v>
      </c>
      <c r="H626" s="1">
        <v>1.9</v>
      </c>
      <c r="I626" s="1" t="s">
        <v>36</v>
      </c>
      <c r="J626" s="1">
        <v>4</v>
      </c>
      <c r="K626" s="1">
        <v>1</v>
      </c>
      <c r="L626" s="1">
        <v>8</v>
      </c>
      <c r="M626" s="8">
        <v>0</v>
      </c>
    </row>
    <row r="627" spans="1:13" hidden="1" x14ac:dyDescent="0.25">
      <c r="A627" s="7">
        <v>13</v>
      </c>
      <c r="B627" s="1" t="s">
        <v>34</v>
      </c>
      <c r="C627" s="1">
        <v>4</v>
      </c>
      <c r="D627" s="1" t="s">
        <v>41</v>
      </c>
      <c r="E627" s="1">
        <v>8.3000000000000007</v>
      </c>
      <c r="F627" s="1">
        <v>0.6</v>
      </c>
      <c r="G627" s="1">
        <v>3.71</v>
      </c>
      <c r="H627" s="1">
        <v>0.1</v>
      </c>
      <c r="I627" s="1" t="s">
        <v>36</v>
      </c>
      <c r="J627" s="1">
        <v>2</v>
      </c>
      <c r="K627" s="1">
        <v>6</v>
      </c>
      <c r="L627" s="1">
        <v>1</v>
      </c>
      <c r="M627" s="8">
        <v>0</v>
      </c>
    </row>
    <row r="628" spans="1:13" hidden="1" x14ac:dyDescent="0.25">
      <c r="A628" s="7">
        <v>17</v>
      </c>
      <c r="B628" s="1" t="s">
        <v>37</v>
      </c>
      <c r="C628" s="1">
        <v>7.5</v>
      </c>
      <c r="D628" s="1" t="s">
        <v>41</v>
      </c>
      <c r="E628" s="1">
        <v>4.7</v>
      </c>
      <c r="F628" s="1">
        <v>2.1</v>
      </c>
      <c r="G628" s="1">
        <v>2.5499999999999998</v>
      </c>
      <c r="H628" s="1">
        <v>0.1</v>
      </c>
      <c r="I628" s="1" t="s">
        <v>39</v>
      </c>
      <c r="J628" s="1">
        <v>3</v>
      </c>
      <c r="K628" s="1">
        <v>9</v>
      </c>
      <c r="L628" s="1">
        <v>1</v>
      </c>
      <c r="M628" s="8">
        <v>0</v>
      </c>
    </row>
    <row r="629" spans="1:13" hidden="1" x14ac:dyDescent="0.25">
      <c r="A629" s="7">
        <v>16</v>
      </c>
      <c r="B629" s="1" t="s">
        <v>37</v>
      </c>
      <c r="C629" s="1">
        <v>6</v>
      </c>
      <c r="D629" s="1" t="s">
        <v>41</v>
      </c>
      <c r="E629" s="1">
        <v>8.6999999999999993</v>
      </c>
      <c r="F629" s="1">
        <v>1.5</v>
      </c>
      <c r="G629" s="1">
        <v>3.76</v>
      </c>
      <c r="H629" s="1">
        <v>0.1</v>
      </c>
      <c r="I629" s="1" t="s">
        <v>40</v>
      </c>
      <c r="J629" s="1">
        <v>2</v>
      </c>
      <c r="K629" s="1">
        <v>5</v>
      </c>
      <c r="L629" s="1">
        <v>4</v>
      </c>
      <c r="M629" s="8">
        <v>0</v>
      </c>
    </row>
    <row r="630" spans="1:13" x14ac:dyDescent="0.25">
      <c r="A630" s="7">
        <v>16</v>
      </c>
      <c r="B630" s="1" t="s">
        <v>37</v>
      </c>
      <c r="C630" s="1">
        <v>3.6</v>
      </c>
      <c r="D630" s="1" t="s">
        <v>35</v>
      </c>
      <c r="E630" s="1">
        <v>6.1</v>
      </c>
      <c r="F630" s="1">
        <v>2.8</v>
      </c>
      <c r="G630" s="1">
        <v>3.8</v>
      </c>
      <c r="H630" s="1">
        <v>0.1</v>
      </c>
      <c r="I630" s="1" t="s">
        <v>39</v>
      </c>
      <c r="J630" s="1">
        <v>2</v>
      </c>
      <c r="K630" s="1">
        <v>1</v>
      </c>
      <c r="L630" s="1">
        <v>7</v>
      </c>
      <c r="M630" s="8">
        <v>0</v>
      </c>
    </row>
    <row r="631" spans="1:13" hidden="1" x14ac:dyDescent="0.25">
      <c r="A631" s="7">
        <v>19</v>
      </c>
      <c r="B631" s="1" t="s">
        <v>34</v>
      </c>
      <c r="C631" s="1">
        <v>4.7</v>
      </c>
      <c r="D631" s="1" t="s">
        <v>41</v>
      </c>
      <c r="E631" s="1">
        <v>8.1999999999999993</v>
      </c>
      <c r="F631" s="1">
        <v>1.2</v>
      </c>
      <c r="G631" s="1">
        <v>2.83</v>
      </c>
      <c r="H631" s="1">
        <v>1.2</v>
      </c>
      <c r="I631" s="1" t="s">
        <v>39</v>
      </c>
      <c r="J631" s="1">
        <v>5</v>
      </c>
      <c r="K631" s="1">
        <v>9</v>
      </c>
      <c r="L631" s="1">
        <v>9</v>
      </c>
      <c r="M631" s="8">
        <v>0</v>
      </c>
    </row>
    <row r="632" spans="1:13" hidden="1" x14ac:dyDescent="0.25">
      <c r="A632" s="7">
        <v>13</v>
      </c>
      <c r="B632" s="1" t="s">
        <v>34</v>
      </c>
      <c r="C632" s="1">
        <v>2</v>
      </c>
      <c r="D632" s="1" t="s">
        <v>35</v>
      </c>
      <c r="E632" s="1">
        <v>6.6</v>
      </c>
      <c r="F632" s="1">
        <v>0.9</v>
      </c>
      <c r="G632" s="1">
        <v>3.34</v>
      </c>
      <c r="H632" s="1">
        <v>1.5</v>
      </c>
      <c r="I632" s="1" t="s">
        <v>39</v>
      </c>
      <c r="J632" s="1">
        <v>5</v>
      </c>
      <c r="K632" s="1">
        <v>9</v>
      </c>
      <c r="L632" s="1">
        <v>4</v>
      </c>
      <c r="M632" s="8">
        <v>0</v>
      </c>
    </row>
    <row r="633" spans="1:13" hidden="1" x14ac:dyDescent="0.25">
      <c r="A633" s="7">
        <v>13</v>
      </c>
      <c r="B633" s="1" t="s">
        <v>34</v>
      </c>
      <c r="C633" s="1">
        <v>7.8</v>
      </c>
      <c r="D633" s="1" t="s">
        <v>38</v>
      </c>
      <c r="E633" s="1">
        <v>7.2</v>
      </c>
      <c r="F633" s="1">
        <v>1.3</v>
      </c>
      <c r="G633" s="1">
        <v>3.31</v>
      </c>
      <c r="H633" s="1">
        <v>0.8</v>
      </c>
      <c r="I633" s="1" t="s">
        <v>39</v>
      </c>
      <c r="J633" s="1">
        <v>9</v>
      </c>
      <c r="K633" s="1">
        <v>2</v>
      </c>
      <c r="L633" s="1">
        <v>4</v>
      </c>
      <c r="M633" s="8">
        <v>0</v>
      </c>
    </row>
    <row r="634" spans="1:13" hidden="1" x14ac:dyDescent="0.25">
      <c r="A634" s="7">
        <v>19</v>
      </c>
      <c r="B634" s="1" t="s">
        <v>34</v>
      </c>
      <c r="C634" s="1">
        <v>5.9</v>
      </c>
      <c r="D634" s="1" t="s">
        <v>38</v>
      </c>
      <c r="E634" s="1">
        <v>7.4</v>
      </c>
      <c r="F634" s="1">
        <v>0.7</v>
      </c>
      <c r="G634" s="1">
        <v>3.27</v>
      </c>
      <c r="H634" s="1">
        <v>1.7</v>
      </c>
      <c r="I634" s="1" t="s">
        <v>39</v>
      </c>
      <c r="J634" s="1">
        <v>1</v>
      </c>
      <c r="K634" s="1">
        <v>9</v>
      </c>
      <c r="L634" s="1">
        <v>9</v>
      </c>
      <c r="M634" s="8">
        <v>0</v>
      </c>
    </row>
    <row r="635" spans="1:13" hidden="1" x14ac:dyDescent="0.25">
      <c r="A635" s="7">
        <v>19</v>
      </c>
      <c r="B635" s="1" t="s">
        <v>34</v>
      </c>
      <c r="C635" s="1">
        <v>7.7</v>
      </c>
      <c r="D635" s="1" t="s">
        <v>38</v>
      </c>
      <c r="E635" s="1">
        <v>8.4</v>
      </c>
      <c r="F635" s="1">
        <v>2.8</v>
      </c>
      <c r="G635" s="1">
        <v>3.43</v>
      </c>
      <c r="H635" s="1">
        <v>0.2</v>
      </c>
      <c r="I635" s="1" t="s">
        <v>40</v>
      </c>
      <c r="J635" s="1">
        <v>7</v>
      </c>
      <c r="K635" s="1">
        <v>6</v>
      </c>
      <c r="L635" s="1">
        <v>6</v>
      </c>
      <c r="M635" s="8">
        <v>0</v>
      </c>
    </row>
    <row r="636" spans="1:13" hidden="1" x14ac:dyDescent="0.25">
      <c r="A636" s="7">
        <v>13</v>
      </c>
      <c r="B636" s="1" t="s">
        <v>34</v>
      </c>
      <c r="C636" s="1">
        <v>2.2000000000000002</v>
      </c>
      <c r="D636" s="1" t="s">
        <v>38</v>
      </c>
      <c r="E636" s="1">
        <v>5.4</v>
      </c>
      <c r="F636" s="1">
        <v>1.2</v>
      </c>
      <c r="G636" s="1">
        <v>2.33</v>
      </c>
      <c r="H636" s="1">
        <v>0.8</v>
      </c>
      <c r="I636" s="1" t="s">
        <v>40</v>
      </c>
      <c r="J636" s="1">
        <v>10</v>
      </c>
      <c r="K636" s="1">
        <v>3</v>
      </c>
      <c r="L636" s="1">
        <v>4</v>
      </c>
      <c r="M636" s="8">
        <v>0</v>
      </c>
    </row>
    <row r="637" spans="1:13" hidden="1" x14ac:dyDescent="0.25">
      <c r="A637" s="7">
        <v>18</v>
      </c>
      <c r="B637" s="1" t="s">
        <v>37</v>
      </c>
      <c r="C637" s="1">
        <v>7.7</v>
      </c>
      <c r="D637" s="1" t="s">
        <v>38</v>
      </c>
      <c r="E637" s="1">
        <v>7.6</v>
      </c>
      <c r="F637" s="1">
        <v>2.9</v>
      </c>
      <c r="G637" s="1">
        <v>3.81</v>
      </c>
      <c r="H637" s="1">
        <v>0.5</v>
      </c>
      <c r="I637" s="1" t="s">
        <v>39</v>
      </c>
      <c r="J637" s="1">
        <v>10</v>
      </c>
      <c r="K637" s="1">
        <v>3</v>
      </c>
      <c r="L637" s="1">
        <v>6</v>
      </c>
      <c r="M637" s="8">
        <v>0</v>
      </c>
    </row>
    <row r="638" spans="1:13" hidden="1" x14ac:dyDescent="0.25">
      <c r="A638" s="7">
        <v>18</v>
      </c>
      <c r="B638" s="1" t="s">
        <v>34</v>
      </c>
      <c r="C638" s="1">
        <v>3.2</v>
      </c>
      <c r="D638" s="1" t="s">
        <v>35</v>
      </c>
      <c r="E638" s="1">
        <v>6</v>
      </c>
      <c r="F638" s="1">
        <v>1.5</v>
      </c>
      <c r="G638" s="1">
        <v>3.36</v>
      </c>
      <c r="H638" s="1">
        <v>1.5</v>
      </c>
      <c r="I638" s="1" t="s">
        <v>39</v>
      </c>
      <c r="J638" s="1">
        <v>9</v>
      </c>
      <c r="K638" s="1">
        <v>7</v>
      </c>
      <c r="L638" s="1">
        <v>10</v>
      </c>
      <c r="M638" s="8">
        <v>0</v>
      </c>
    </row>
    <row r="639" spans="1:13" hidden="1" x14ac:dyDescent="0.25">
      <c r="A639" s="7">
        <v>16</v>
      </c>
      <c r="B639" s="1" t="s">
        <v>34</v>
      </c>
      <c r="C639" s="1">
        <v>2</v>
      </c>
      <c r="D639" s="1" t="s">
        <v>38</v>
      </c>
      <c r="E639" s="1">
        <v>7.8</v>
      </c>
      <c r="F639" s="1">
        <v>0.5</v>
      </c>
      <c r="G639" s="1">
        <v>2.81</v>
      </c>
      <c r="H639" s="1">
        <v>1.4</v>
      </c>
      <c r="I639" s="1" t="s">
        <v>39</v>
      </c>
      <c r="J639" s="1">
        <v>10</v>
      </c>
      <c r="K639" s="1">
        <v>2</v>
      </c>
      <c r="L639" s="1">
        <v>4</v>
      </c>
      <c r="M639" s="8">
        <v>0</v>
      </c>
    </row>
    <row r="640" spans="1:13" hidden="1" x14ac:dyDescent="0.25">
      <c r="A640" s="7">
        <v>15</v>
      </c>
      <c r="B640" s="1" t="s">
        <v>37</v>
      </c>
      <c r="C640" s="1">
        <v>6.2</v>
      </c>
      <c r="D640" s="1" t="s">
        <v>41</v>
      </c>
      <c r="E640" s="1">
        <v>5.2</v>
      </c>
      <c r="F640" s="1">
        <v>1</v>
      </c>
      <c r="G640" s="1">
        <v>3.94</v>
      </c>
      <c r="H640" s="1">
        <v>1.4</v>
      </c>
      <c r="I640" s="1" t="s">
        <v>36</v>
      </c>
      <c r="J640" s="1">
        <v>5</v>
      </c>
      <c r="K640" s="1">
        <v>2</v>
      </c>
      <c r="L640" s="1">
        <v>7</v>
      </c>
      <c r="M640" s="8">
        <v>0</v>
      </c>
    </row>
    <row r="641" spans="1:13" x14ac:dyDescent="0.25">
      <c r="A641" s="7">
        <v>19</v>
      </c>
      <c r="B641" s="1" t="s">
        <v>37</v>
      </c>
      <c r="C641" s="1">
        <v>2.4</v>
      </c>
      <c r="D641" s="1" t="s">
        <v>35</v>
      </c>
      <c r="E641" s="1">
        <v>8.6999999999999993</v>
      </c>
      <c r="F641" s="1">
        <v>1.6</v>
      </c>
      <c r="G641" s="1">
        <v>2.4</v>
      </c>
      <c r="H641" s="1">
        <v>0.1</v>
      </c>
      <c r="I641" s="1" t="s">
        <v>40</v>
      </c>
      <c r="J641" s="1">
        <v>2</v>
      </c>
      <c r="K641" s="1">
        <v>9</v>
      </c>
      <c r="L641" s="1">
        <v>7</v>
      </c>
      <c r="M641" s="8">
        <v>0</v>
      </c>
    </row>
    <row r="642" spans="1:13" hidden="1" x14ac:dyDescent="0.25">
      <c r="A642" s="7">
        <v>15</v>
      </c>
      <c r="B642" s="1" t="s">
        <v>34</v>
      </c>
      <c r="C642" s="1">
        <v>3.4</v>
      </c>
      <c r="D642" s="1" t="s">
        <v>41</v>
      </c>
      <c r="E642" s="1">
        <v>8</v>
      </c>
      <c r="F642" s="1">
        <v>1</v>
      </c>
      <c r="G642" s="1">
        <v>2.31</v>
      </c>
      <c r="H642" s="1">
        <v>1</v>
      </c>
      <c r="I642" s="1" t="s">
        <v>39</v>
      </c>
      <c r="J642" s="1">
        <v>4</v>
      </c>
      <c r="K642" s="1">
        <v>7</v>
      </c>
      <c r="L642" s="1">
        <v>6</v>
      </c>
      <c r="M642" s="8">
        <v>0</v>
      </c>
    </row>
    <row r="643" spans="1:13" hidden="1" x14ac:dyDescent="0.25">
      <c r="A643" s="7">
        <v>19</v>
      </c>
      <c r="B643" s="1" t="s">
        <v>34</v>
      </c>
      <c r="C643" s="1">
        <v>6</v>
      </c>
      <c r="D643" s="1" t="s">
        <v>35</v>
      </c>
      <c r="E643" s="1">
        <v>4.2</v>
      </c>
      <c r="F643" s="1">
        <v>0.9</v>
      </c>
      <c r="G643" s="1">
        <v>2.41</v>
      </c>
      <c r="H643" s="1">
        <v>0.8</v>
      </c>
      <c r="I643" s="1" t="s">
        <v>40</v>
      </c>
      <c r="J643" s="1">
        <v>7</v>
      </c>
      <c r="K643" s="1">
        <v>9</v>
      </c>
      <c r="L643" s="1">
        <v>9</v>
      </c>
      <c r="M643" s="8">
        <v>1</v>
      </c>
    </row>
    <row r="644" spans="1:13" hidden="1" x14ac:dyDescent="0.25">
      <c r="A644" s="7">
        <v>16</v>
      </c>
      <c r="B644" s="1" t="s">
        <v>37</v>
      </c>
      <c r="C644" s="1">
        <v>5.3</v>
      </c>
      <c r="D644" s="1" t="s">
        <v>41</v>
      </c>
      <c r="E644" s="1">
        <v>5.6</v>
      </c>
      <c r="F644" s="1">
        <v>2.5</v>
      </c>
      <c r="G644" s="1">
        <v>2.73</v>
      </c>
      <c r="H644" s="1">
        <v>1.3</v>
      </c>
      <c r="I644" s="1" t="s">
        <v>40</v>
      </c>
      <c r="J644" s="1">
        <v>7</v>
      </c>
      <c r="K644" s="1">
        <v>10</v>
      </c>
      <c r="L644" s="1">
        <v>4</v>
      </c>
      <c r="M644" s="8">
        <v>1</v>
      </c>
    </row>
    <row r="645" spans="1:13" x14ac:dyDescent="0.25">
      <c r="A645" s="7">
        <v>17</v>
      </c>
      <c r="B645" s="1" t="s">
        <v>37</v>
      </c>
      <c r="C645" s="1">
        <v>5.5</v>
      </c>
      <c r="D645" s="1" t="s">
        <v>35</v>
      </c>
      <c r="E645" s="1">
        <v>6.3</v>
      </c>
      <c r="F645" s="1">
        <v>0.8</v>
      </c>
      <c r="G645" s="1">
        <v>2.59</v>
      </c>
      <c r="H645" s="1">
        <v>1.6</v>
      </c>
      <c r="I645" s="1" t="s">
        <v>39</v>
      </c>
      <c r="J645" s="1">
        <v>6</v>
      </c>
      <c r="K645" s="1">
        <v>8</v>
      </c>
      <c r="L645" s="1">
        <v>7</v>
      </c>
      <c r="M645" s="8">
        <v>0</v>
      </c>
    </row>
    <row r="646" spans="1:13" hidden="1" x14ac:dyDescent="0.25">
      <c r="A646" s="7">
        <v>17</v>
      </c>
      <c r="B646" s="1" t="s">
        <v>34</v>
      </c>
      <c r="C646" s="1">
        <v>3.6</v>
      </c>
      <c r="D646" s="1" t="s">
        <v>41</v>
      </c>
      <c r="E646" s="1">
        <v>6.1</v>
      </c>
      <c r="F646" s="1">
        <v>2.8</v>
      </c>
      <c r="G646" s="1">
        <v>2.39</v>
      </c>
      <c r="H646" s="1">
        <v>0.6</v>
      </c>
      <c r="I646" s="1" t="s">
        <v>36</v>
      </c>
      <c r="J646" s="1">
        <v>6</v>
      </c>
      <c r="K646" s="1">
        <v>8</v>
      </c>
      <c r="L646" s="1">
        <v>5</v>
      </c>
      <c r="M646" s="8">
        <v>0</v>
      </c>
    </row>
    <row r="647" spans="1:13" x14ac:dyDescent="0.25">
      <c r="A647" s="7">
        <v>17</v>
      </c>
      <c r="B647" s="1" t="s">
        <v>37</v>
      </c>
      <c r="C647" s="1">
        <v>3.7</v>
      </c>
      <c r="D647" s="1" t="s">
        <v>35</v>
      </c>
      <c r="E647" s="1">
        <v>6.3</v>
      </c>
      <c r="F647" s="1">
        <v>1.3</v>
      </c>
      <c r="G647" s="1">
        <v>2.7</v>
      </c>
      <c r="H647" s="1">
        <v>1.1000000000000001</v>
      </c>
      <c r="I647" s="1" t="s">
        <v>40</v>
      </c>
      <c r="J647" s="1">
        <v>2</v>
      </c>
      <c r="K647" s="1">
        <v>6</v>
      </c>
      <c r="L647" s="1">
        <v>9</v>
      </c>
      <c r="M647" s="8">
        <v>0</v>
      </c>
    </row>
    <row r="648" spans="1:13" x14ac:dyDescent="0.25">
      <c r="A648" s="7">
        <v>16</v>
      </c>
      <c r="B648" s="1" t="s">
        <v>37</v>
      </c>
      <c r="C648" s="1">
        <v>7.4</v>
      </c>
      <c r="D648" s="1" t="s">
        <v>35</v>
      </c>
      <c r="E648" s="1">
        <v>7.4</v>
      </c>
      <c r="F648" s="1">
        <v>0.9</v>
      </c>
      <c r="G648" s="1">
        <v>3.7</v>
      </c>
      <c r="H648" s="1">
        <v>1.3</v>
      </c>
      <c r="I648" s="1" t="s">
        <v>40</v>
      </c>
      <c r="J648" s="1">
        <v>10</v>
      </c>
      <c r="K648" s="1">
        <v>6</v>
      </c>
      <c r="L648" s="1">
        <v>2</v>
      </c>
      <c r="M648" s="8">
        <v>0</v>
      </c>
    </row>
    <row r="649" spans="1:13" hidden="1" x14ac:dyDescent="0.25">
      <c r="A649" s="7">
        <v>13</v>
      </c>
      <c r="B649" s="1" t="s">
        <v>34</v>
      </c>
      <c r="C649" s="1">
        <v>5.3</v>
      </c>
      <c r="D649" s="1" t="s">
        <v>35</v>
      </c>
      <c r="E649" s="1">
        <v>6</v>
      </c>
      <c r="F649" s="1">
        <v>1</v>
      </c>
      <c r="G649" s="1">
        <v>2.92</v>
      </c>
      <c r="H649" s="1">
        <v>0.7</v>
      </c>
      <c r="I649" s="1" t="s">
        <v>39</v>
      </c>
      <c r="J649" s="1">
        <v>3</v>
      </c>
      <c r="K649" s="1">
        <v>8</v>
      </c>
      <c r="L649" s="1">
        <v>5</v>
      </c>
      <c r="M649" s="8">
        <v>0</v>
      </c>
    </row>
    <row r="650" spans="1:13" x14ac:dyDescent="0.25">
      <c r="A650" s="7">
        <v>18</v>
      </c>
      <c r="B650" s="1" t="s">
        <v>37</v>
      </c>
      <c r="C650" s="1">
        <v>4.8</v>
      </c>
      <c r="D650" s="1" t="s">
        <v>35</v>
      </c>
      <c r="E650" s="1">
        <v>5.5</v>
      </c>
      <c r="F650" s="1">
        <v>1.8</v>
      </c>
      <c r="G650" s="1">
        <v>2.9</v>
      </c>
      <c r="H650" s="1">
        <v>0.6</v>
      </c>
      <c r="I650" s="1" t="s">
        <v>36</v>
      </c>
      <c r="J650" s="1">
        <v>6</v>
      </c>
      <c r="K650" s="1">
        <v>2</v>
      </c>
      <c r="L650" s="1">
        <v>5</v>
      </c>
      <c r="M650" s="8">
        <v>0</v>
      </c>
    </row>
    <row r="651" spans="1:13" hidden="1" x14ac:dyDescent="0.25">
      <c r="A651" s="7">
        <v>13</v>
      </c>
      <c r="B651" s="1" t="s">
        <v>34</v>
      </c>
      <c r="C651" s="1">
        <v>3.4</v>
      </c>
      <c r="D651" s="1" t="s">
        <v>38</v>
      </c>
      <c r="E651" s="1">
        <v>4.5</v>
      </c>
      <c r="F651" s="1">
        <v>0.5</v>
      </c>
      <c r="G651" s="1">
        <v>3.71</v>
      </c>
      <c r="H651" s="1">
        <v>1</v>
      </c>
      <c r="I651" s="1" t="s">
        <v>40</v>
      </c>
      <c r="J651" s="1">
        <v>1</v>
      </c>
      <c r="K651" s="1">
        <v>10</v>
      </c>
      <c r="L651" s="1">
        <v>1</v>
      </c>
      <c r="M651" s="8">
        <v>0</v>
      </c>
    </row>
    <row r="652" spans="1:13" hidden="1" x14ac:dyDescent="0.25">
      <c r="A652" s="7">
        <v>17</v>
      </c>
      <c r="B652" s="1" t="s">
        <v>37</v>
      </c>
      <c r="C652" s="1">
        <v>7</v>
      </c>
      <c r="D652" s="1" t="s">
        <v>38</v>
      </c>
      <c r="E652" s="1">
        <v>8.9</v>
      </c>
      <c r="F652" s="1">
        <v>0.6</v>
      </c>
      <c r="G652" s="1">
        <v>3.67</v>
      </c>
      <c r="H652" s="1">
        <v>0.2</v>
      </c>
      <c r="I652" s="1" t="s">
        <v>40</v>
      </c>
      <c r="J652" s="1">
        <v>9</v>
      </c>
      <c r="K652" s="1">
        <v>2</v>
      </c>
      <c r="L652" s="1">
        <v>4</v>
      </c>
      <c r="M652" s="8">
        <v>0</v>
      </c>
    </row>
    <row r="653" spans="1:13" hidden="1" x14ac:dyDescent="0.25">
      <c r="A653" s="7">
        <v>15</v>
      </c>
      <c r="B653" s="1" t="s">
        <v>34</v>
      </c>
      <c r="C653" s="1">
        <v>5.4</v>
      </c>
      <c r="D653" s="1" t="s">
        <v>35</v>
      </c>
      <c r="E653" s="1">
        <v>7.2</v>
      </c>
      <c r="F653" s="1">
        <v>1.2</v>
      </c>
      <c r="G653" s="1">
        <v>3.32</v>
      </c>
      <c r="H653" s="1">
        <v>1.3</v>
      </c>
      <c r="I653" s="1" t="s">
        <v>39</v>
      </c>
      <c r="J653" s="1">
        <v>7</v>
      </c>
      <c r="K653" s="1">
        <v>8</v>
      </c>
      <c r="L653" s="1">
        <v>1</v>
      </c>
      <c r="M653" s="8">
        <v>0</v>
      </c>
    </row>
    <row r="654" spans="1:13" hidden="1" x14ac:dyDescent="0.25">
      <c r="A654" s="7">
        <v>17</v>
      </c>
      <c r="B654" s="1" t="s">
        <v>34</v>
      </c>
      <c r="C654" s="1">
        <v>5.3</v>
      </c>
      <c r="D654" s="1" t="s">
        <v>35</v>
      </c>
      <c r="E654" s="1">
        <v>6.4</v>
      </c>
      <c r="F654" s="1">
        <v>2.9</v>
      </c>
      <c r="G654" s="1">
        <v>2.42</v>
      </c>
      <c r="H654" s="1">
        <v>1.1000000000000001</v>
      </c>
      <c r="I654" s="1" t="s">
        <v>36</v>
      </c>
      <c r="J654" s="1">
        <v>3</v>
      </c>
      <c r="K654" s="1">
        <v>8</v>
      </c>
      <c r="L654" s="1">
        <v>3</v>
      </c>
      <c r="M654" s="8">
        <v>0</v>
      </c>
    </row>
    <row r="655" spans="1:13" hidden="1" x14ac:dyDescent="0.25">
      <c r="A655" s="7">
        <v>14</v>
      </c>
      <c r="B655" s="1" t="s">
        <v>34</v>
      </c>
      <c r="C655" s="1">
        <v>1.8</v>
      </c>
      <c r="D655" s="1" t="s">
        <v>41</v>
      </c>
      <c r="E655" s="1">
        <v>5.0999999999999996</v>
      </c>
      <c r="F655" s="1">
        <v>2.7</v>
      </c>
      <c r="G655" s="1">
        <v>3.47</v>
      </c>
      <c r="H655" s="1">
        <v>0.2</v>
      </c>
      <c r="I655" s="1" t="s">
        <v>36</v>
      </c>
      <c r="J655" s="1">
        <v>8</v>
      </c>
      <c r="K655" s="1">
        <v>4</v>
      </c>
      <c r="L655" s="1">
        <v>6</v>
      </c>
      <c r="M655" s="8">
        <v>0</v>
      </c>
    </row>
    <row r="656" spans="1:13" hidden="1" x14ac:dyDescent="0.25">
      <c r="A656" s="7">
        <v>15</v>
      </c>
      <c r="B656" s="1" t="s">
        <v>34</v>
      </c>
      <c r="C656" s="1">
        <v>4.5</v>
      </c>
      <c r="D656" s="1" t="s">
        <v>38</v>
      </c>
      <c r="E656" s="1">
        <v>6.2</v>
      </c>
      <c r="F656" s="1">
        <v>2.8</v>
      </c>
      <c r="G656" s="1">
        <v>2.74</v>
      </c>
      <c r="H656" s="1">
        <v>0.1</v>
      </c>
      <c r="I656" s="1" t="s">
        <v>39</v>
      </c>
      <c r="J656" s="1">
        <v>2</v>
      </c>
      <c r="K656" s="1">
        <v>3</v>
      </c>
      <c r="L656" s="1">
        <v>5</v>
      </c>
      <c r="M656" s="8">
        <v>0</v>
      </c>
    </row>
    <row r="657" spans="1:13" hidden="1" x14ac:dyDescent="0.25">
      <c r="A657" s="7">
        <v>17</v>
      </c>
      <c r="B657" s="1" t="s">
        <v>37</v>
      </c>
      <c r="C657" s="1">
        <v>5.4</v>
      </c>
      <c r="D657" s="1" t="s">
        <v>38</v>
      </c>
      <c r="E657" s="1">
        <v>7.1</v>
      </c>
      <c r="F657" s="1">
        <v>2.5</v>
      </c>
      <c r="G657" s="1">
        <v>2.68</v>
      </c>
      <c r="H657" s="1">
        <v>1.6</v>
      </c>
      <c r="I657" s="1" t="s">
        <v>36</v>
      </c>
      <c r="J657" s="1">
        <v>3</v>
      </c>
      <c r="K657" s="1">
        <v>5</v>
      </c>
      <c r="L657" s="1">
        <v>7</v>
      </c>
      <c r="M657" s="8">
        <v>0</v>
      </c>
    </row>
    <row r="658" spans="1:13" hidden="1" x14ac:dyDescent="0.25">
      <c r="A658" s="7">
        <v>13</v>
      </c>
      <c r="B658" s="1" t="s">
        <v>34</v>
      </c>
      <c r="C658" s="1">
        <v>3.6</v>
      </c>
      <c r="D658" s="1" t="s">
        <v>35</v>
      </c>
      <c r="E658" s="1">
        <v>8.6</v>
      </c>
      <c r="F658" s="1">
        <v>0.7</v>
      </c>
      <c r="G658" s="1">
        <v>2.42</v>
      </c>
      <c r="H658" s="1">
        <v>0.2</v>
      </c>
      <c r="I658" s="1" t="s">
        <v>40</v>
      </c>
      <c r="J658" s="1">
        <v>2</v>
      </c>
      <c r="K658" s="1">
        <v>6</v>
      </c>
      <c r="L658" s="1">
        <v>8</v>
      </c>
      <c r="M658" s="8">
        <v>0</v>
      </c>
    </row>
    <row r="659" spans="1:13" x14ac:dyDescent="0.25">
      <c r="A659" s="7">
        <v>14</v>
      </c>
      <c r="B659" s="1" t="s">
        <v>37</v>
      </c>
      <c r="C659" s="1">
        <v>5.7</v>
      </c>
      <c r="D659" s="1" t="s">
        <v>35</v>
      </c>
      <c r="E659" s="1">
        <v>8.9</v>
      </c>
      <c r="F659" s="1">
        <v>0.7</v>
      </c>
      <c r="G659" s="1">
        <v>2.17</v>
      </c>
      <c r="H659" s="1">
        <v>1.3</v>
      </c>
      <c r="I659" s="1" t="s">
        <v>39</v>
      </c>
      <c r="J659" s="1">
        <v>10</v>
      </c>
      <c r="K659" s="1">
        <v>4</v>
      </c>
      <c r="L659" s="1">
        <v>3</v>
      </c>
      <c r="M659" s="8">
        <v>0</v>
      </c>
    </row>
    <row r="660" spans="1:13" hidden="1" x14ac:dyDescent="0.25">
      <c r="A660" s="7">
        <v>15</v>
      </c>
      <c r="B660" s="1" t="s">
        <v>37</v>
      </c>
      <c r="C660" s="1">
        <v>5.5</v>
      </c>
      <c r="D660" s="1" t="s">
        <v>41</v>
      </c>
      <c r="E660" s="1">
        <v>7.3</v>
      </c>
      <c r="F660" s="1">
        <v>2.5</v>
      </c>
      <c r="G660" s="1">
        <v>3.67</v>
      </c>
      <c r="H660" s="1">
        <v>0.5</v>
      </c>
      <c r="I660" s="1" t="s">
        <v>36</v>
      </c>
      <c r="J660" s="1">
        <v>4</v>
      </c>
      <c r="K660" s="1">
        <v>3</v>
      </c>
      <c r="L660" s="1">
        <v>6</v>
      </c>
      <c r="M660" s="8">
        <v>0</v>
      </c>
    </row>
    <row r="661" spans="1:13" hidden="1" x14ac:dyDescent="0.25">
      <c r="A661" s="7">
        <v>14</v>
      </c>
      <c r="B661" s="1" t="s">
        <v>37</v>
      </c>
      <c r="C661" s="1">
        <v>5.3</v>
      </c>
      <c r="D661" s="1" t="s">
        <v>41</v>
      </c>
      <c r="E661" s="1">
        <v>4.7</v>
      </c>
      <c r="F661" s="1">
        <v>1.1000000000000001</v>
      </c>
      <c r="G661" s="1">
        <v>3.68</v>
      </c>
      <c r="H661" s="1">
        <v>1.8</v>
      </c>
      <c r="I661" s="1" t="s">
        <v>39</v>
      </c>
      <c r="J661" s="1">
        <v>10</v>
      </c>
      <c r="K661" s="1">
        <v>8</v>
      </c>
      <c r="L661" s="1">
        <v>10</v>
      </c>
      <c r="M661" s="8">
        <v>1</v>
      </c>
    </row>
    <row r="662" spans="1:13" hidden="1" x14ac:dyDescent="0.25">
      <c r="A662" s="7">
        <v>15</v>
      </c>
      <c r="B662" s="1" t="s">
        <v>34</v>
      </c>
      <c r="C662" s="1">
        <v>2.7</v>
      </c>
      <c r="D662" s="1" t="s">
        <v>35</v>
      </c>
      <c r="E662" s="1">
        <v>5.4</v>
      </c>
      <c r="F662" s="1">
        <v>1.6</v>
      </c>
      <c r="G662" s="1">
        <v>2.34</v>
      </c>
      <c r="H662" s="1">
        <v>0.3</v>
      </c>
      <c r="I662" s="1" t="s">
        <v>39</v>
      </c>
      <c r="J662" s="1">
        <v>2</v>
      </c>
      <c r="K662" s="1">
        <v>6</v>
      </c>
      <c r="L662" s="1">
        <v>8</v>
      </c>
      <c r="M662" s="8">
        <v>0</v>
      </c>
    </row>
    <row r="663" spans="1:13" hidden="1" x14ac:dyDescent="0.25">
      <c r="A663" s="7">
        <v>14</v>
      </c>
      <c r="B663" s="1" t="s">
        <v>34</v>
      </c>
      <c r="C663" s="1">
        <v>6.4</v>
      </c>
      <c r="D663" s="1" t="s">
        <v>35</v>
      </c>
      <c r="E663" s="1">
        <v>5.6</v>
      </c>
      <c r="F663" s="1">
        <v>0.8</v>
      </c>
      <c r="G663" s="1">
        <v>4</v>
      </c>
      <c r="H663" s="1">
        <v>1.9</v>
      </c>
      <c r="I663" s="1" t="s">
        <v>40</v>
      </c>
      <c r="J663" s="1">
        <v>5</v>
      </c>
      <c r="K663" s="1">
        <v>1</v>
      </c>
      <c r="L663" s="1">
        <v>3</v>
      </c>
      <c r="M663" s="8">
        <v>0</v>
      </c>
    </row>
    <row r="664" spans="1:13" hidden="1" x14ac:dyDescent="0.25">
      <c r="A664" s="7">
        <v>16</v>
      </c>
      <c r="B664" s="1" t="s">
        <v>34</v>
      </c>
      <c r="C664" s="1">
        <v>5</v>
      </c>
      <c r="D664" s="1" t="s">
        <v>38</v>
      </c>
      <c r="E664" s="1">
        <v>6.3</v>
      </c>
      <c r="F664" s="1">
        <v>3</v>
      </c>
      <c r="G664" s="1">
        <v>3.72</v>
      </c>
      <c r="H664" s="1">
        <v>1.6</v>
      </c>
      <c r="I664" s="1" t="s">
        <v>40</v>
      </c>
      <c r="J664" s="1">
        <v>5</v>
      </c>
      <c r="K664" s="1">
        <v>10</v>
      </c>
      <c r="L664" s="1">
        <v>3</v>
      </c>
      <c r="M664" s="8">
        <v>0</v>
      </c>
    </row>
    <row r="665" spans="1:13" x14ac:dyDescent="0.25">
      <c r="A665" s="7">
        <v>13</v>
      </c>
      <c r="B665" s="1" t="s">
        <v>37</v>
      </c>
      <c r="C665" s="1">
        <v>2.5</v>
      </c>
      <c r="D665" s="1" t="s">
        <v>35</v>
      </c>
      <c r="E665" s="1">
        <v>4.5999999999999996</v>
      </c>
      <c r="F665" s="1">
        <v>1.6</v>
      </c>
      <c r="G665" s="1">
        <v>3.22</v>
      </c>
      <c r="H665" s="1">
        <v>0.9</v>
      </c>
      <c r="I665" s="1" t="s">
        <v>40</v>
      </c>
      <c r="J665" s="1">
        <v>6</v>
      </c>
      <c r="K665" s="1">
        <v>4</v>
      </c>
      <c r="L665" s="1">
        <v>3</v>
      </c>
      <c r="M665" s="8">
        <v>0</v>
      </c>
    </row>
    <row r="666" spans="1:13" hidden="1" x14ac:dyDescent="0.25">
      <c r="A666" s="7">
        <v>18</v>
      </c>
      <c r="B666" s="1" t="s">
        <v>34</v>
      </c>
      <c r="C666" s="1">
        <v>2.2000000000000002</v>
      </c>
      <c r="D666" s="1" t="s">
        <v>41</v>
      </c>
      <c r="E666" s="1">
        <v>4.5</v>
      </c>
      <c r="F666" s="1">
        <v>2</v>
      </c>
      <c r="G666" s="1">
        <v>2.4900000000000002</v>
      </c>
      <c r="H666" s="1">
        <v>0.8</v>
      </c>
      <c r="I666" s="1" t="s">
        <v>39</v>
      </c>
      <c r="J666" s="1">
        <v>1</v>
      </c>
      <c r="K666" s="1">
        <v>7</v>
      </c>
      <c r="L666" s="1">
        <v>6</v>
      </c>
      <c r="M666" s="8">
        <v>0</v>
      </c>
    </row>
    <row r="667" spans="1:13" hidden="1" x14ac:dyDescent="0.25">
      <c r="A667" s="7">
        <v>16</v>
      </c>
      <c r="B667" s="1" t="s">
        <v>34</v>
      </c>
      <c r="C667" s="1">
        <v>4.0999999999999996</v>
      </c>
      <c r="D667" s="1" t="s">
        <v>41</v>
      </c>
      <c r="E667" s="1">
        <v>5.5</v>
      </c>
      <c r="F667" s="1">
        <v>1.9</v>
      </c>
      <c r="G667" s="1">
        <v>2.65</v>
      </c>
      <c r="H667" s="1">
        <v>1.5</v>
      </c>
      <c r="I667" s="1" t="s">
        <v>36</v>
      </c>
      <c r="J667" s="1">
        <v>5</v>
      </c>
      <c r="K667" s="1">
        <v>7</v>
      </c>
      <c r="L667" s="1">
        <v>9</v>
      </c>
      <c r="M667" s="8">
        <v>0</v>
      </c>
    </row>
    <row r="668" spans="1:13" hidden="1" x14ac:dyDescent="0.25">
      <c r="A668" s="7">
        <v>16</v>
      </c>
      <c r="B668" s="1" t="s">
        <v>37</v>
      </c>
      <c r="C668" s="1">
        <v>2.8</v>
      </c>
      <c r="D668" s="1" t="s">
        <v>38</v>
      </c>
      <c r="E668" s="1">
        <v>7.4</v>
      </c>
      <c r="F668" s="1">
        <v>2</v>
      </c>
      <c r="G668" s="1">
        <v>3.4</v>
      </c>
      <c r="H668" s="1">
        <v>1.6</v>
      </c>
      <c r="I668" s="1" t="s">
        <v>36</v>
      </c>
      <c r="J668" s="1">
        <v>4</v>
      </c>
      <c r="K668" s="1">
        <v>1</v>
      </c>
      <c r="L668" s="1">
        <v>1</v>
      </c>
      <c r="M668" s="8">
        <v>0</v>
      </c>
    </row>
    <row r="669" spans="1:13" hidden="1" x14ac:dyDescent="0.25">
      <c r="A669" s="7">
        <v>17</v>
      </c>
      <c r="B669" s="1" t="s">
        <v>37</v>
      </c>
      <c r="C669" s="1">
        <v>1.1000000000000001</v>
      </c>
      <c r="D669" s="1" t="s">
        <v>38</v>
      </c>
      <c r="E669" s="1">
        <v>8.1999999999999993</v>
      </c>
      <c r="F669" s="1">
        <v>2.7</v>
      </c>
      <c r="G669" s="1">
        <v>2.84</v>
      </c>
      <c r="H669" s="1">
        <v>0.2</v>
      </c>
      <c r="I669" s="1" t="s">
        <v>39</v>
      </c>
      <c r="J669" s="1">
        <v>2</v>
      </c>
      <c r="K669" s="1">
        <v>4</v>
      </c>
      <c r="L669" s="1">
        <v>1</v>
      </c>
      <c r="M669" s="8">
        <v>0</v>
      </c>
    </row>
    <row r="670" spans="1:13" hidden="1" x14ac:dyDescent="0.25">
      <c r="A670" s="7">
        <v>13</v>
      </c>
      <c r="B670" s="1" t="s">
        <v>34</v>
      </c>
      <c r="C670" s="1">
        <v>7</v>
      </c>
      <c r="D670" s="1" t="s">
        <v>41</v>
      </c>
      <c r="E670" s="1">
        <v>5.7</v>
      </c>
      <c r="F670" s="1">
        <v>1.6</v>
      </c>
      <c r="G670" s="1">
        <v>3.45</v>
      </c>
      <c r="H670" s="1">
        <v>1.2</v>
      </c>
      <c r="I670" s="1" t="s">
        <v>40</v>
      </c>
      <c r="J670" s="1">
        <v>7</v>
      </c>
      <c r="K670" s="1">
        <v>1</v>
      </c>
      <c r="L670" s="1">
        <v>10</v>
      </c>
      <c r="M670" s="8">
        <v>0</v>
      </c>
    </row>
    <row r="671" spans="1:13" hidden="1" x14ac:dyDescent="0.25">
      <c r="A671" s="7">
        <v>18</v>
      </c>
      <c r="B671" s="1" t="s">
        <v>34</v>
      </c>
      <c r="C671" s="1">
        <v>2.6</v>
      </c>
      <c r="D671" s="1" t="s">
        <v>38</v>
      </c>
      <c r="E671" s="1">
        <v>7.9</v>
      </c>
      <c r="F671" s="1">
        <v>2.2999999999999998</v>
      </c>
      <c r="G671" s="1">
        <v>2.4300000000000002</v>
      </c>
      <c r="H671" s="1">
        <v>0.1</v>
      </c>
      <c r="I671" s="1" t="s">
        <v>39</v>
      </c>
      <c r="J671" s="1">
        <v>5</v>
      </c>
      <c r="K671" s="1">
        <v>1</v>
      </c>
      <c r="L671" s="1">
        <v>6</v>
      </c>
      <c r="M671" s="8">
        <v>0</v>
      </c>
    </row>
    <row r="672" spans="1:13" hidden="1" x14ac:dyDescent="0.25">
      <c r="A672" s="7">
        <v>13</v>
      </c>
      <c r="B672" s="1" t="s">
        <v>37</v>
      </c>
      <c r="C672" s="1">
        <v>2.6</v>
      </c>
      <c r="D672" s="1" t="s">
        <v>38</v>
      </c>
      <c r="E672" s="1">
        <v>6.1</v>
      </c>
      <c r="F672" s="1">
        <v>1.4</v>
      </c>
      <c r="G672" s="1">
        <v>2.11</v>
      </c>
      <c r="H672" s="1">
        <v>0.4</v>
      </c>
      <c r="I672" s="1" t="s">
        <v>39</v>
      </c>
      <c r="J672" s="1">
        <v>7</v>
      </c>
      <c r="K672" s="1">
        <v>5</v>
      </c>
      <c r="L672" s="1">
        <v>10</v>
      </c>
      <c r="M672" s="8">
        <v>0</v>
      </c>
    </row>
    <row r="673" spans="1:13" hidden="1" x14ac:dyDescent="0.25">
      <c r="A673" s="7">
        <v>14</v>
      </c>
      <c r="B673" s="1" t="s">
        <v>34</v>
      </c>
      <c r="C673" s="1">
        <v>3.4</v>
      </c>
      <c r="D673" s="1" t="s">
        <v>35</v>
      </c>
      <c r="E673" s="1">
        <v>4.5999999999999996</v>
      </c>
      <c r="F673" s="1">
        <v>2</v>
      </c>
      <c r="G673" s="1">
        <v>2.27</v>
      </c>
      <c r="H673" s="1">
        <v>1.9</v>
      </c>
      <c r="I673" s="1" t="s">
        <v>39</v>
      </c>
      <c r="J673" s="1">
        <v>7</v>
      </c>
      <c r="K673" s="1">
        <v>10</v>
      </c>
      <c r="L673" s="1">
        <v>6</v>
      </c>
      <c r="M673" s="8">
        <v>0</v>
      </c>
    </row>
    <row r="674" spans="1:13" hidden="1" x14ac:dyDescent="0.25">
      <c r="A674" s="7">
        <v>14</v>
      </c>
      <c r="B674" s="1" t="s">
        <v>34</v>
      </c>
      <c r="C674" s="1">
        <v>7.9</v>
      </c>
      <c r="D674" s="1" t="s">
        <v>35</v>
      </c>
      <c r="E674" s="1">
        <v>5.7</v>
      </c>
      <c r="F674" s="1">
        <v>1.6</v>
      </c>
      <c r="G674" s="1">
        <v>3.67</v>
      </c>
      <c r="H674" s="1">
        <v>0.6</v>
      </c>
      <c r="I674" s="1" t="s">
        <v>40</v>
      </c>
      <c r="J674" s="1">
        <v>4</v>
      </c>
      <c r="K674" s="1">
        <v>3</v>
      </c>
      <c r="L674" s="1">
        <v>4</v>
      </c>
      <c r="M674" s="8">
        <v>0</v>
      </c>
    </row>
    <row r="675" spans="1:13" hidden="1" x14ac:dyDescent="0.25">
      <c r="A675" s="7">
        <v>13</v>
      </c>
      <c r="B675" s="1" t="s">
        <v>34</v>
      </c>
      <c r="C675" s="1">
        <v>5.0999999999999996</v>
      </c>
      <c r="D675" s="1" t="s">
        <v>38</v>
      </c>
      <c r="E675" s="1">
        <v>5.3</v>
      </c>
      <c r="F675" s="1">
        <v>2.6</v>
      </c>
      <c r="G675" s="1">
        <v>2.95</v>
      </c>
      <c r="H675" s="1">
        <v>1.2</v>
      </c>
      <c r="I675" s="1" t="s">
        <v>40</v>
      </c>
      <c r="J675" s="1">
        <v>2</v>
      </c>
      <c r="K675" s="1">
        <v>6</v>
      </c>
      <c r="L675" s="1">
        <v>10</v>
      </c>
      <c r="M675" s="8">
        <v>0</v>
      </c>
    </row>
    <row r="676" spans="1:13" hidden="1" x14ac:dyDescent="0.25">
      <c r="A676" s="7">
        <v>13</v>
      </c>
      <c r="B676" s="1" t="s">
        <v>37</v>
      </c>
      <c r="C676" s="1">
        <v>2.8</v>
      </c>
      <c r="D676" s="1" t="s">
        <v>41</v>
      </c>
      <c r="E676" s="1">
        <v>6.4</v>
      </c>
      <c r="F676" s="1">
        <v>1.4</v>
      </c>
      <c r="G676" s="1">
        <v>2.38</v>
      </c>
      <c r="H676" s="1">
        <v>1.4</v>
      </c>
      <c r="I676" s="1" t="s">
        <v>40</v>
      </c>
      <c r="J676" s="1">
        <v>4</v>
      </c>
      <c r="K676" s="1">
        <v>8</v>
      </c>
      <c r="L676" s="1">
        <v>10</v>
      </c>
      <c r="M676" s="8">
        <v>0</v>
      </c>
    </row>
    <row r="677" spans="1:13" hidden="1" x14ac:dyDescent="0.25">
      <c r="A677" s="7">
        <v>19</v>
      </c>
      <c r="B677" s="1" t="s">
        <v>37</v>
      </c>
      <c r="C677" s="1">
        <v>3.4</v>
      </c>
      <c r="D677" s="1" t="s">
        <v>38</v>
      </c>
      <c r="E677" s="1">
        <v>4.3</v>
      </c>
      <c r="F677" s="1">
        <v>0.7</v>
      </c>
      <c r="G677" s="1">
        <v>2.17</v>
      </c>
      <c r="H677" s="1">
        <v>0.7</v>
      </c>
      <c r="I677" s="1" t="s">
        <v>39</v>
      </c>
      <c r="J677" s="1">
        <v>3</v>
      </c>
      <c r="K677" s="1">
        <v>1</v>
      </c>
      <c r="L677" s="1">
        <v>4</v>
      </c>
      <c r="M677" s="8">
        <v>0</v>
      </c>
    </row>
    <row r="678" spans="1:13" hidden="1" x14ac:dyDescent="0.25">
      <c r="A678" s="7">
        <v>18</v>
      </c>
      <c r="B678" s="1" t="s">
        <v>34</v>
      </c>
      <c r="C678" s="1">
        <v>6.3</v>
      </c>
      <c r="D678" s="1" t="s">
        <v>41</v>
      </c>
      <c r="E678" s="1">
        <v>6.9</v>
      </c>
      <c r="F678" s="1">
        <v>1</v>
      </c>
      <c r="G678" s="1">
        <v>3.22</v>
      </c>
      <c r="H678" s="1">
        <v>0.8</v>
      </c>
      <c r="I678" s="1" t="s">
        <v>40</v>
      </c>
      <c r="J678" s="1">
        <v>4</v>
      </c>
      <c r="K678" s="1">
        <v>6</v>
      </c>
      <c r="L678" s="1">
        <v>1</v>
      </c>
      <c r="M678" s="8">
        <v>0</v>
      </c>
    </row>
    <row r="679" spans="1:13" hidden="1" x14ac:dyDescent="0.25">
      <c r="A679" s="7">
        <v>17</v>
      </c>
      <c r="B679" s="1" t="s">
        <v>37</v>
      </c>
      <c r="C679" s="1">
        <v>1.1000000000000001</v>
      </c>
      <c r="D679" s="1" t="s">
        <v>38</v>
      </c>
      <c r="E679" s="1">
        <v>4.5999999999999996</v>
      </c>
      <c r="F679" s="1">
        <v>2.5</v>
      </c>
      <c r="G679" s="1">
        <v>3.93</v>
      </c>
      <c r="H679" s="1">
        <v>0.3</v>
      </c>
      <c r="I679" s="1" t="s">
        <v>39</v>
      </c>
      <c r="J679" s="1">
        <v>10</v>
      </c>
      <c r="K679" s="1">
        <v>6</v>
      </c>
      <c r="L679" s="1">
        <v>2</v>
      </c>
      <c r="M679" s="8">
        <v>0</v>
      </c>
    </row>
    <row r="680" spans="1:13" hidden="1" x14ac:dyDescent="0.25">
      <c r="A680" s="7">
        <v>19</v>
      </c>
      <c r="B680" s="1" t="s">
        <v>34</v>
      </c>
      <c r="C680" s="1">
        <v>3.8</v>
      </c>
      <c r="D680" s="1" t="s">
        <v>35</v>
      </c>
      <c r="E680" s="1">
        <v>7.1</v>
      </c>
      <c r="F680" s="1">
        <v>2.5</v>
      </c>
      <c r="G680" s="1">
        <v>3.81</v>
      </c>
      <c r="H680" s="1">
        <v>0.9</v>
      </c>
      <c r="I680" s="1" t="s">
        <v>36</v>
      </c>
      <c r="J680" s="1">
        <v>6</v>
      </c>
      <c r="K680" s="1">
        <v>9</v>
      </c>
      <c r="L680" s="1">
        <v>4</v>
      </c>
      <c r="M680" s="8">
        <v>0</v>
      </c>
    </row>
    <row r="681" spans="1:13" hidden="1" x14ac:dyDescent="0.25">
      <c r="A681" s="7">
        <v>13</v>
      </c>
      <c r="B681" s="1" t="s">
        <v>34</v>
      </c>
      <c r="C681" s="1">
        <v>2.1</v>
      </c>
      <c r="D681" s="1" t="s">
        <v>35</v>
      </c>
      <c r="E681" s="1">
        <v>4.0999999999999996</v>
      </c>
      <c r="F681" s="1">
        <v>1.6</v>
      </c>
      <c r="G681" s="1">
        <v>2.12</v>
      </c>
      <c r="H681" s="1">
        <v>1.8</v>
      </c>
      <c r="I681" s="1" t="s">
        <v>39</v>
      </c>
      <c r="J681" s="1">
        <v>10</v>
      </c>
      <c r="K681" s="1">
        <v>9</v>
      </c>
      <c r="L681" s="1">
        <v>6</v>
      </c>
      <c r="M681" s="8">
        <v>0</v>
      </c>
    </row>
    <row r="682" spans="1:13" hidden="1" x14ac:dyDescent="0.25">
      <c r="A682" s="7">
        <v>17</v>
      </c>
      <c r="B682" s="1" t="s">
        <v>37</v>
      </c>
      <c r="C682" s="1">
        <v>6.2</v>
      </c>
      <c r="D682" s="1" t="s">
        <v>41</v>
      </c>
      <c r="E682" s="1">
        <v>6.1</v>
      </c>
      <c r="F682" s="1">
        <v>2.4</v>
      </c>
      <c r="G682" s="1">
        <v>3.05</v>
      </c>
      <c r="H682" s="1">
        <v>1.8</v>
      </c>
      <c r="I682" s="1" t="s">
        <v>39</v>
      </c>
      <c r="J682" s="1">
        <v>3</v>
      </c>
      <c r="K682" s="1">
        <v>6</v>
      </c>
      <c r="L682" s="1">
        <v>8</v>
      </c>
      <c r="M682" s="8">
        <v>0</v>
      </c>
    </row>
    <row r="683" spans="1:13" hidden="1" x14ac:dyDescent="0.25">
      <c r="A683" s="7">
        <v>19</v>
      </c>
      <c r="B683" s="1" t="s">
        <v>34</v>
      </c>
      <c r="C683" s="1">
        <v>6.8</v>
      </c>
      <c r="D683" s="1" t="s">
        <v>35</v>
      </c>
      <c r="E683" s="1">
        <v>8.4</v>
      </c>
      <c r="F683" s="1">
        <v>2.1</v>
      </c>
      <c r="G683" s="1">
        <v>3.15</v>
      </c>
      <c r="H683" s="1">
        <v>2</v>
      </c>
      <c r="I683" s="1" t="s">
        <v>40</v>
      </c>
      <c r="J683" s="1">
        <v>4</v>
      </c>
      <c r="K683" s="1">
        <v>10</v>
      </c>
      <c r="L683" s="1">
        <v>1</v>
      </c>
      <c r="M683" s="8">
        <v>0</v>
      </c>
    </row>
    <row r="684" spans="1:13" hidden="1" x14ac:dyDescent="0.25">
      <c r="A684" s="7">
        <v>14</v>
      </c>
      <c r="B684" s="1" t="s">
        <v>34</v>
      </c>
      <c r="C684" s="1">
        <v>5.2</v>
      </c>
      <c r="D684" s="1" t="s">
        <v>35</v>
      </c>
      <c r="E684" s="1">
        <v>5.5</v>
      </c>
      <c r="F684" s="1">
        <v>1.6</v>
      </c>
      <c r="G684" s="1">
        <v>3.08</v>
      </c>
      <c r="H684" s="1">
        <v>0.5</v>
      </c>
      <c r="I684" s="1" t="s">
        <v>40</v>
      </c>
      <c r="J684" s="1">
        <v>3</v>
      </c>
      <c r="K684" s="1">
        <v>8</v>
      </c>
      <c r="L684" s="1">
        <v>1</v>
      </c>
      <c r="M684" s="8">
        <v>0</v>
      </c>
    </row>
    <row r="685" spans="1:13" hidden="1" x14ac:dyDescent="0.25">
      <c r="A685" s="7">
        <v>15</v>
      </c>
      <c r="B685" s="1" t="s">
        <v>34</v>
      </c>
      <c r="C685" s="1">
        <v>3.7</v>
      </c>
      <c r="D685" s="1" t="s">
        <v>41</v>
      </c>
      <c r="E685" s="1">
        <v>4</v>
      </c>
      <c r="F685" s="1">
        <v>0.9</v>
      </c>
      <c r="G685" s="1">
        <v>3</v>
      </c>
      <c r="H685" s="1">
        <v>1.4</v>
      </c>
      <c r="I685" s="1" t="s">
        <v>40</v>
      </c>
      <c r="J685" s="1">
        <v>1</v>
      </c>
      <c r="K685" s="1">
        <v>8</v>
      </c>
      <c r="L685" s="1">
        <v>10</v>
      </c>
      <c r="M685" s="8">
        <v>0</v>
      </c>
    </row>
    <row r="686" spans="1:13" hidden="1" x14ac:dyDescent="0.25">
      <c r="A686" s="7">
        <v>19</v>
      </c>
      <c r="B686" s="1" t="s">
        <v>34</v>
      </c>
      <c r="C686" s="1">
        <v>2.4</v>
      </c>
      <c r="D686" s="1" t="s">
        <v>41</v>
      </c>
      <c r="E686" s="1">
        <v>7.5</v>
      </c>
      <c r="F686" s="1">
        <v>1.8</v>
      </c>
      <c r="G686" s="1">
        <v>2.35</v>
      </c>
      <c r="H686" s="1">
        <v>1.4</v>
      </c>
      <c r="I686" s="1" t="s">
        <v>36</v>
      </c>
      <c r="J686" s="1">
        <v>3</v>
      </c>
      <c r="K686" s="1">
        <v>8</v>
      </c>
      <c r="L686" s="1">
        <v>6</v>
      </c>
      <c r="M686" s="8">
        <v>0</v>
      </c>
    </row>
    <row r="687" spans="1:13" hidden="1" x14ac:dyDescent="0.25">
      <c r="A687" s="7">
        <v>13</v>
      </c>
      <c r="B687" s="1" t="s">
        <v>34</v>
      </c>
      <c r="C687" s="1">
        <v>2.1</v>
      </c>
      <c r="D687" s="1" t="s">
        <v>38</v>
      </c>
      <c r="E687" s="1">
        <v>5.8</v>
      </c>
      <c r="F687" s="1">
        <v>2.7</v>
      </c>
      <c r="G687" s="1">
        <v>3.83</v>
      </c>
      <c r="H687" s="1">
        <v>1.9</v>
      </c>
      <c r="I687" s="1" t="s">
        <v>36</v>
      </c>
      <c r="J687" s="1">
        <v>4</v>
      </c>
      <c r="K687" s="1">
        <v>6</v>
      </c>
      <c r="L687" s="1">
        <v>6</v>
      </c>
      <c r="M687" s="8">
        <v>0</v>
      </c>
    </row>
    <row r="688" spans="1:13" hidden="1" x14ac:dyDescent="0.25">
      <c r="A688" s="7">
        <v>17</v>
      </c>
      <c r="B688" s="1" t="s">
        <v>37</v>
      </c>
      <c r="C688" s="1">
        <v>2.6</v>
      </c>
      <c r="D688" s="1" t="s">
        <v>38</v>
      </c>
      <c r="E688" s="1">
        <v>4.2</v>
      </c>
      <c r="F688" s="1">
        <v>0.7</v>
      </c>
      <c r="G688" s="1">
        <v>3.02</v>
      </c>
      <c r="H688" s="1">
        <v>1.6</v>
      </c>
      <c r="I688" s="1" t="s">
        <v>36</v>
      </c>
      <c r="J688" s="1">
        <v>7</v>
      </c>
      <c r="K688" s="1">
        <v>4</v>
      </c>
      <c r="L688" s="1">
        <v>7</v>
      </c>
      <c r="M688" s="8">
        <v>0</v>
      </c>
    </row>
    <row r="689" spans="1:13" hidden="1" x14ac:dyDescent="0.25">
      <c r="A689" s="7">
        <v>19</v>
      </c>
      <c r="B689" s="1" t="s">
        <v>34</v>
      </c>
      <c r="C689" s="1">
        <v>6.5</v>
      </c>
      <c r="D689" s="1" t="s">
        <v>35</v>
      </c>
      <c r="E689" s="1">
        <v>6</v>
      </c>
      <c r="F689" s="1">
        <v>1.5</v>
      </c>
      <c r="G689" s="1">
        <v>2.12</v>
      </c>
      <c r="H689" s="1">
        <v>1.7</v>
      </c>
      <c r="I689" s="1" t="s">
        <v>40</v>
      </c>
      <c r="J689" s="1">
        <v>8</v>
      </c>
      <c r="K689" s="1">
        <v>5</v>
      </c>
      <c r="L689" s="1">
        <v>7</v>
      </c>
      <c r="M689" s="8">
        <v>0</v>
      </c>
    </row>
    <row r="690" spans="1:13" x14ac:dyDescent="0.25">
      <c r="A690" s="7">
        <v>16</v>
      </c>
      <c r="B690" s="1" t="s">
        <v>37</v>
      </c>
      <c r="C690" s="1">
        <v>3.4</v>
      </c>
      <c r="D690" s="1" t="s">
        <v>35</v>
      </c>
      <c r="E690" s="1">
        <v>5.3</v>
      </c>
      <c r="F690" s="1">
        <v>1.8</v>
      </c>
      <c r="G690" s="1">
        <v>3.33</v>
      </c>
      <c r="H690" s="1">
        <v>0.3</v>
      </c>
      <c r="I690" s="1" t="s">
        <v>36</v>
      </c>
      <c r="J690" s="1">
        <v>9</v>
      </c>
      <c r="K690" s="1">
        <v>2</v>
      </c>
      <c r="L690" s="1">
        <v>4</v>
      </c>
      <c r="M690" s="8">
        <v>0</v>
      </c>
    </row>
    <row r="691" spans="1:13" hidden="1" x14ac:dyDescent="0.25">
      <c r="A691" s="7">
        <v>16</v>
      </c>
      <c r="B691" s="1" t="s">
        <v>34</v>
      </c>
      <c r="C691" s="1">
        <v>1.7</v>
      </c>
      <c r="D691" s="1" t="s">
        <v>41</v>
      </c>
      <c r="E691" s="1">
        <v>4.3</v>
      </c>
      <c r="F691" s="1">
        <v>1.4</v>
      </c>
      <c r="G691" s="1">
        <v>3.27</v>
      </c>
      <c r="H691" s="1">
        <v>1.2</v>
      </c>
      <c r="I691" s="1" t="s">
        <v>40</v>
      </c>
      <c r="J691" s="1">
        <v>10</v>
      </c>
      <c r="K691" s="1">
        <v>4</v>
      </c>
      <c r="L691" s="1">
        <v>10</v>
      </c>
      <c r="M691" s="8">
        <v>0</v>
      </c>
    </row>
    <row r="692" spans="1:13" hidden="1" x14ac:dyDescent="0.25">
      <c r="A692" s="7">
        <v>13</v>
      </c>
      <c r="B692" s="1" t="s">
        <v>34</v>
      </c>
      <c r="C692" s="1">
        <v>5.6</v>
      </c>
      <c r="D692" s="1" t="s">
        <v>41</v>
      </c>
      <c r="E692" s="1">
        <v>4.4000000000000004</v>
      </c>
      <c r="F692" s="1">
        <v>2.9</v>
      </c>
      <c r="G692" s="1">
        <v>3.19</v>
      </c>
      <c r="H692" s="1">
        <v>0.9</v>
      </c>
      <c r="I692" s="1" t="s">
        <v>40</v>
      </c>
      <c r="J692" s="1">
        <v>6</v>
      </c>
      <c r="K692" s="1">
        <v>3</v>
      </c>
      <c r="L692" s="1">
        <v>4</v>
      </c>
      <c r="M692" s="8">
        <v>0</v>
      </c>
    </row>
    <row r="693" spans="1:13" hidden="1" x14ac:dyDescent="0.25">
      <c r="A693" s="7">
        <v>15</v>
      </c>
      <c r="B693" s="1" t="s">
        <v>37</v>
      </c>
      <c r="C693" s="1">
        <v>8</v>
      </c>
      <c r="D693" s="1" t="s">
        <v>41</v>
      </c>
      <c r="E693" s="1">
        <v>5.7</v>
      </c>
      <c r="F693" s="1">
        <v>1.3</v>
      </c>
      <c r="G693" s="1">
        <v>3.54</v>
      </c>
      <c r="H693" s="1">
        <v>0.1</v>
      </c>
      <c r="I693" s="1" t="s">
        <v>39</v>
      </c>
      <c r="J693" s="1">
        <v>9</v>
      </c>
      <c r="K693" s="1">
        <v>7</v>
      </c>
      <c r="L693" s="1">
        <v>5</v>
      </c>
      <c r="M693" s="8">
        <v>1</v>
      </c>
    </row>
    <row r="694" spans="1:13" x14ac:dyDescent="0.25">
      <c r="A694" s="7">
        <v>15</v>
      </c>
      <c r="B694" s="1" t="s">
        <v>37</v>
      </c>
      <c r="C694" s="1">
        <v>5.7</v>
      </c>
      <c r="D694" s="1" t="s">
        <v>35</v>
      </c>
      <c r="E694" s="1">
        <v>8.4</v>
      </c>
      <c r="F694" s="1">
        <v>1.3</v>
      </c>
      <c r="G694" s="1">
        <v>2.48</v>
      </c>
      <c r="H694" s="1">
        <v>0.9</v>
      </c>
      <c r="I694" s="1" t="s">
        <v>39</v>
      </c>
      <c r="J694" s="1">
        <v>5</v>
      </c>
      <c r="K694" s="1">
        <v>2</v>
      </c>
      <c r="L694" s="1">
        <v>4</v>
      </c>
      <c r="M694" s="8">
        <v>0</v>
      </c>
    </row>
    <row r="695" spans="1:13" hidden="1" x14ac:dyDescent="0.25">
      <c r="A695" s="7">
        <v>16</v>
      </c>
      <c r="B695" s="1" t="s">
        <v>37</v>
      </c>
      <c r="C695" s="1">
        <v>4</v>
      </c>
      <c r="D695" s="1" t="s">
        <v>38</v>
      </c>
      <c r="E695" s="1">
        <v>5.4</v>
      </c>
      <c r="F695" s="1">
        <v>2.7</v>
      </c>
      <c r="G695" s="1">
        <v>2.88</v>
      </c>
      <c r="H695" s="1">
        <v>1.2</v>
      </c>
      <c r="I695" s="1" t="s">
        <v>40</v>
      </c>
      <c r="J695" s="1">
        <v>4</v>
      </c>
      <c r="K695" s="1">
        <v>10</v>
      </c>
      <c r="L695" s="1">
        <v>1</v>
      </c>
      <c r="M695" s="8">
        <v>0</v>
      </c>
    </row>
    <row r="696" spans="1:13" x14ac:dyDescent="0.25">
      <c r="A696" s="7">
        <v>13</v>
      </c>
      <c r="B696" s="1" t="s">
        <v>37</v>
      </c>
      <c r="C696" s="1">
        <v>3.5</v>
      </c>
      <c r="D696" s="1" t="s">
        <v>35</v>
      </c>
      <c r="E696" s="1">
        <v>5.3</v>
      </c>
      <c r="F696" s="1">
        <v>1.7</v>
      </c>
      <c r="G696" s="1">
        <v>2.2000000000000002</v>
      </c>
      <c r="H696" s="1">
        <v>0.8</v>
      </c>
      <c r="I696" s="1" t="s">
        <v>39</v>
      </c>
      <c r="J696" s="1">
        <v>6</v>
      </c>
      <c r="K696" s="1">
        <v>10</v>
      </c>
      <c r="L696" s="1">
        <v>8</v>
      </c>
      <c r="M696" s="8">
        <v>0</v>
      </c>
    </row>
    <row r="697" spans="1:13" hidden="1" x14ac:dyDescent="0.25">
      <c r="A697" s="7">
        <v>15</v>
      </c>
      <c r="B697" s="1" t="s">
        <v>37</v>
      </c>
      <c r="C697" s="1">
        <v>4.2</v>
      </c>
      <c r="D697" s="1" t="s">
        <v>38</v>
      </c>
      <c r="E697" s="1">
        <v>5.5</v>
      </c>
      <c r="F697" s="1">
        <v>1.3</v>
      </c>
      <c r="G697" s="1">
        <v>3.49</v>
      </c>
      <c r="H697" s="1">
        <v>0.5</v>
      </c>
      <c r="I697" s="1" t="s">
        <v>36</v>
      </c>
      <c r="J697" s="1">
        <v>2</v>
      </c>
      <c r="K697" s="1">
        <v>5</v>
      </c>
      <c r="L697" s="1">
        <v>2</v>
      </c>
      <c r="M697" s="8">
        <v>0</v>
      </c>
    </row>
    <row r="698" spans="1:13" hidden="1" x14ac:dyDescent="0.25">
      <c r="A698" s="7">
        <v>19</v>
      </c>
      <c r="B698" s="1" t="s">
        <v>37</v>
      </c>
      <c r="C698" s="1">
        <v>3.9</v>
      </c>
      <c r="D698" s="1" t="s">
        <v>38</v>
      </c>
      <c r="E698" s="1">
        <v>7.4</v>
      </c>
      <c r="F698" s="1">
        <v>2.5</v>
      </c>
      <c r="G698" s="1">
        <v>3.74</v>
      </c>
      <c r="H698" s="1">
        <v>0.3</v>
      </c>
      <c r="I698" s="1" t="s">
        <v>40</v>
      </c>
      <c r="J698" s="1">
        <v>5</v>
      </c>
      <c r="K698" s="1">
        <v>8</v>
      </c>
      <c r="L698" s="1">
        <v>3</v>
      </c>
      <c r="M698" s="8">
        <v>0</v>
      </c>
    </row>
    <row r="699" spans="1:13" x14ac:dyDescent="0.25">
      <c r="A699" s="7">
        <v>17</v>
      </c>
      <c r="B699" s="1" t="s">
        <v>37</v>
      </c>
      <c r="C699" s="1">
        <v>6.7</v>
      </c>
      <c r="D699" s="1" t="s">
        <v>35</v>
      </c>
      <c r="E699" s="1">
        <v>4.3</v>
      </c>
      <c r="F699" s="1">
        <v>0.6</v>
      </c>
      <c r="G699" s="1">
        <v>3.76</v>
      </c>
      <c r="H699" s="1">
        <v>0</v>
      </c>
      <c r="I699" s="1" t="s">
        <v>36</v>
      </c>
      <c r="J699" s="1">
        <v>2</v>
      </c>
      <c r="K699" s="1">
        <v>1</v>
      </c>
      <c r="L699" s="1">
        <v>7</v>
      </c>
      <c r="M699" s="8">
        <v>0</v>
      </c>
    </row>
    <row r="700" spans="1:13" hidden="1" x14ac:dyDescent="0.25">
      <c r="A700" s="7">
        <v>15</v>
      </c>
      <c r="B700" s="1" t="s">
        <v>34</v>
      </c>
      <c r="C700" s="1">
        <v>6.7</v>
      </c>
      <c r="D700" s="1" t="s">
        <v>41</v>
      </c>
      <c r="E700" s="1">
        <v>4.3</v>
      </c>
      <c r="F700" s="1">
        <v>1.8</v>
      </c>
      <c r="G700" s="1">
        <v>3.69</v>
      </c>
      <c r="H700" s="1">
        <v>0.7</v>
      </c>
      <c r="I700" s="1" t="s">
        <v>39</v>
      </c>
      <c r="J700" s="1">
        <v>2</v>
      </c>
      <c r="K700" s="1">
        <v>8</v>
      </c>
      <c r="L700" s="1">
        <v>7</v>
      </c>
      <c r="M700" s="8">
        <v>0</v>
      </c>
    </row>
    <row r="701" spans="1:13" x14ac:dyDescent="0.25">
      <c r="A701" s="7">
        <v>14</v>
      </c>
      <c r="B701" s="1" t="s">
        <v>37</v>
      </c>
      <c r="C701" s="1">
        <v>3.4</v>
      </c>
      <c r="D701" s="1" t="s">
        <v>35</v>
      </c>
      <c r="E701" s="1">
        <v>5.6</v>
      </c>
      <c r="F701" s="1">
        <v>1.7</v>
      </c>
      <c r="G701" s="1">
        <v>3.38</v>
      </c>
      <c r="H701" s="1">
        <v>0.3</v>
      </c>
      <c r="I701" s="1" t="s">
        <v>39</v>
      </c>
      <c r="J701" s="1">
        <v>9</v>
      </c>
      <c r="K701" s="1">
        <v>3</v>
      </c>
      <c r="L701" s="1">
        <v>1</v>
      </c>
      <c r="M701" s="8">
        <v>0</v>
      </c>
    </row>
    <row r="702" spans="1:13" hidden="1" x14ac:dyDescent="0.25">
      <c r="A702" s="7">
        <v>16</v>
      </c>
      <c r="B702" s="1" t="s">
        <v>34</v>
      </c>
      <c r="C702" s="1">
        <v>5</v>
      </c>
      <c r="D702" s="1" t="s">
        <v>38</v>
      </c>
      <c r="E702" s="1">
        <v>4.3</v>
      </c>
      <c r="F702" s="1">
        <v>0.7</v>
      </c>
      <c r="G702" s="1">
        <v>3.68</v>
      </c>
      <c r="H702" s="1">
        <v>1.2</v>
      </c>
      <c r="I702" s="1" t="s">
        <v>36</v>
      </c>
      <c r="J702" s="1">
        <v>6</v>
      </c>
      <c r="K702" s="1">
        <v>2</v>
      </c>
      <c r="L702" s="1">
        <v>4</v>
      </c>
      <c r="M702" s="8">
        <v>0</v>
      </c>
    </row>
    <row r="703" spans="1:13" x14ac:dyDescent="0.25">
      <c r="A703" s="7">
        <v>18</v>
      </c>
      <c r="B703" s="1" t="s">
        <v>37</v>
      </c>
      <c r="C703" s="1">
        <v>3.8</v>
      </c>
      <c r="D703" s="1" t="s">
        <v>35</v>
      </c>
      <c r="E703" s="1">
        <v>5.9</v>
      </c>
      <c r="F703" s="1">
        <v>1</v>
      </c>
      <c r="G703" s="1">
        <v>2.2200000000000002</v>
      </c>
      <c r="H703" s="1">
        <v>0.6</v>
      </c>
      <c r="I703" s="1" t="s">
        <v>36</v>
      </c>
      <c r="J703" s="1">
        <v>9</v>
      </c>
      <c r="K703" s="1">
        <v>10</v>
      </c>
      <c r="L703" s="1">
        <v>9</v>
      </c>
      <c r="M703" s="8">
        <v>0</v>
      </c>
    </row>
    <row r="704" spans="1:13" hidden="1" x14ac:dyDescent="0.25">
      <c r="A704" s="7">
        <v>15</v>
      </c>
      <c r="B704" s="1" t="s">
        <v>37</v>
      </c>
      <c r="C704" s="1">
        <v>7.3</v>
      </c>
      <c r="D704" s="1" t="s">
        <v>38</v>
      </c>
      <c r="E704" s="1">
        <v>7.3</v>
      </c>
      <c r="F704" s="1">
        <v>2.8</v>
      </c>
      <c r="G704" s="1">
        <v>2.46</v>
      </c>
      <c r="H704" s="1">
        <v>0.3</v>
      </c>
      <c r="I704" s="1" t="s">
        <v>36</v>
      </c>
      <c r="J704" s="1">
        <v>2</v>
      </c>
      <c r="K704" s="1">
        <v>7</v>
      </c>
      <c r="L704" s="1">
        <v>5</v>
      </c>
      <c r="M704" s="8">
        <v>0</v>
      </c>
    </row>
    <row r="705" spans="1:13" hidden="1" x14ac:dyDescent="0.25">
      <c r="A705" s="7">
        <v>18</v>
      </c>
      <c r="B705" s="1" t="s">
        <v>37</v>
      </c>
      <c r="C705" s="1">
        <v>7.2</v>
      </c>
      <c r="D705" s="1" t="s">
        <v>38</v>
      </c>
      <c r="E705" s="1">
        <v>5</v>
      </c>
      <c r="F705" s="1">
        <v>1.4</v>
      </c>
      <c r="G705" s="1">
        <v>3.65</v>
      </c>
      <c r="H705" s="1">
        <v>1.1000000000000001</v>
      </c>
      <c r="I705" s="1" t="s">
        <v>36</v>
      </c>
      <c r="J705" s="1">
        <v>8</v>
      </c>
      <c r="K705" s="1">
        <v>8</v>
      </c>
      <c r="L705" s="1">
        <v>4</v>
      </c>
      <c r="M705" s="8">
        <v>1</v>
      </c>
    </row>
    <row r="706" spans="1:13" hidden="1" x14ac:dyDescent="0.25">
      <c r="A706" s="7">
        <v>15</v>
      </c>
      <c r="B706" s="1" t="s">
        <v>37</v>
      </c>
      <c r="C706" s="1">
        <v>3.1</v>
      </c>
      <c r="D706" s="1" t="s">
        <v>41</v>
      </c>
      <c r="E706" s="1">
        <v>4.2</v>
      </c>
      <c r="F706" s="1">
        <v>2.1</v>
      </c>
      <c r="G706" s="1">
        <v>3.21</v>
      </c>
      <c r="H706" s="1">
        <v>1.1000000000000001</v>
      </c>
      <c r="I706" s="1" t="s">
        <v>40</v>
      </c>
      <c r="J706" s="1">
        <v>8</v>
      </c>
      <c r="K706" s="1">
        <v>2</v>
      </c>
      <c r="L706" s="1">
        <v>10</v>
      </c>
      <c r="M706" s="8">
        <v>0</v>
      </c>
    </row>
    <row r="707" spans="1:13" x14ac:dyDescent="0.25">
      <c r="A707" s="7">
        <v>15</v>
      </c>
      <c r="B707" s="1" t="s">
        <v>37</v>
      </c>
      <c r="C707" s="1">
        <v>8</v>
      </c>
      <c r="D707" s="1" t="s">
        <v>35</v>
      </c>
      <c r="E707" s="1">
        <v>4.4000000000000004</v>
      </c>
      <c r="F707" s="1">
        <v>0.7</v>
      </c>
      <c r="G707" s="1">
        <v>2.62</v>
      </c>
      <c r="H707" s="1">
        <v>1.6</v>
      </c>
      <c r="I707" s="1" t="s">
        <v>39</v>
      </c>
      <c r="J707" s="1">
        <v>6</v>
      </c>
      <c r="K707" s="1">
        <v>7</v>
      </c>
      <c r="L707" s="1">
        <v>2</v>
      </c>
      <c r="M707" s="8">
        <v>0</v>
      </c>
    </row>
    <row r="708" spans="1:13" hidden="1" x14ac:dyDescent="0.25">
      <c r="A708" s="7">
        <v>15</v>
      </c>
      <c r="B708" s="1" t="s">
        <v>34</v>
      </c>
      <c r="C708" s="1">
        <v>4.3</v>
      </c>
      <c r="D708" s="1" t="s">
        <v>35</v>
      </c>
      <c r="E708" s="1">
        <v>7.5</v>
      </c>
      <c r="F708" s="1">
        <v>1.1000000000000001</v>
      </c>
      <c r="G708" s="1">
        <v>2.06</v>
      </c>
      <c r="H708" s="1">
        <v>1.8</v>
      </c>
      <c r="I708" s="1" t="s">
        <v>40</v>
      </c>
      <c r="J708" s="1">
        <v>5</v>
      </c>
      <c r="K708" s="1">
        <v>7</v>
      </c>
      <c r="L708" s="1">
        <v>2</v>
      </c>
      <c r="M708" s="8">
        <v>0</v>
      </c>
    </row>
    <row r="709" spans="1:13" hidden="1" x14ac:dyDescent="0.25">
      <c r="A709" s="7">
        <v>14</v>
      </c>
      <c r="B709" s="1" t="s">
        <v>37</v>
      </c>
      <c r="C709" s="1">
        <v>4</v>
      </c>
      <c r="D709" s="1" t="s">
        <v>38</v>
      </c>
      <c r="E709" s="1">
        <v>5.0999999999999996</v>
      </c>
      <c r="F709" s="1">
        <v>1.1000000000000001</v>
      </c>
      <c r="G709" s="1">
        <v>3.98</v>
      </c>
      <c r="H709" s="1">
        <v>1.3</v>
      </c>
      <c r="I709" s="1" t="s">
        <v>40</v>
      </c>
      <c r="J709" s="1">
        <v>5</v>
      </c>
      <c r="K709" s="1">
        <v>4</v>
      </c>
      <c r="L709" s="1">
        <v>9</v>
      </c>
      <c r="M709" s="8">
        <v>0</v>
      </c>
    </row>
    <row r="710" spans="1:13" hidden="1" x14ac:dyDescent="0.25">
      <c r="A710" s="7">
        <v>15</v>
      </c>
      <c r="B710" s="1" t="s">
        <v>34</v>
      </c>
      <c r="C710" s="1">
        <v>6.9</v>
      </c>
      <c r="D710" s="1" t="s">
        <v>38</v>
      </c>
      <c r="E710" s="1">
        <v>5.6</v>
      </c>
      <c r="F710" s="1">
        <v>1.4</v>
      </c>
      <c r="G710" s="1">
        <v>2.09</v>
      </c>
      <c r="H710" s="1">
        <v>0.7</v>
      </c>
      <c r="I710" s="1" t="s">
        <v>36</v>
      </c>
      <c r="J710" s="1">
        <v>9</v>
      </c>
      <c r="K710" s="1">
        <v>5</v>
      </c>
      <c r="L710" s="1">
        <v>9</v>
      </c>
      <c r="M710" s="8">
        <v>0</v>
      </c>
    </row>
    <row r="711" spans="1:13" hidden="1" x14ac:dyDescent="0.25">
      <c r="A711" s="7">
        <v>13</v>
      </c>
      <c r="B711" s="1" t="s">
        <v>34</v>
      </c>
      <c r="C711" s="1">
        <v>7</v>
      </c>
      <c r="D711" s="1" t="s">
        <v>38</v>
      </c>
      <c r="E711" s="1">
        <v>4.4000000000000004</v>
      </c>
      <c r="F711" s="1">
        <v>0.9</v>
      </c>
      <c r="G711" s="1">
        <v>3.67</v>
      </c>
      <c r="H711" s="1">
        <v>0.4</v>
      </c>
      <c r="I711" s="1" t="s">
        <v>36</v>
      </c>
      <c r="J711" s="1">
        <v>5</v>
      </c>
      <c r="K711" s="1">
        <v>3</v>
      </c>
      <c r="L711" s="1">
        <v>6</v>
      </c>
      <c r="M711" s="8">
        <v>0</v>
      </c>
    </row>
    <row r="712" spans="1:13" hidden="1" x14ac:dyDescent="0.25">
      <c r="A712" s="7">
        <v>13</v>
      </c>
      <c r="B712" s="1" t="s">
        <v>34</v>
      </c>
      <c r="C712" s="1">
        <v>6.2</v>
      </c>
      <c r="D712" s="1" t="s">
        <v>35</v>
      </c>
      <c r="E712" s="1">
        <v>8.6</v>
      </c>
      <c r="F712" s="1">
        <v>1.8</v>
      </c>
      <c r="G712" s="1">
        <v>2.19</v>
      </c>
      <c r="H712" s="1">
        <v>0.7</v>
      </c>
      <c r="I712" s="1" t="s">
        <v>39</v>
      </c>
      <c r="J712" s="1">
        <v>8</v>
      </c>
      <c r="K712" s="1">
        <v>4</v>
      </c>
      <c r="L712" s="1">
        <v>7</v>
      </c>
      <c r="M712" s="8">
        <v>0</v>
      </c>
    </row>
    <row r="713" spans="1:13" hidden="1" x14ac:dyDescent="0.25">
      <c r="A713" s="7">
        <v>15</v>
      </c>
      <c r="B713" s="1" t="s">
        <v>34</v>
      </c>
      <c r="C713" s="1">
        <v>7.7</v>
      </c>
      <c r="D713" s="1" t="s">
        <v>35</v>
      </c>
      <c r="E713" s="1">
        <v>8</v>
      </c>
      <c r="F713" s="1">
        <v>1.3</v>
      </c>
      <c r="G713" s="1">
        <v>3.78</v>
      </c>
      <c r="H713" s="1">
        <v>1.1000000000000001</v>
      </c>
      <c r="I713" s="1" t="s">
        <v>40</v>
      </c>
      <c r="J713" s="1">
        <v>1</v>
      </c>
      <c r="K713" s="1">
        <v>6</v>
      </c>
      <c r="L713" s="1">
        <v>5</v>
      </c>
      <c r="M713" s="8">
        <v>0</v>
      </c>
    </row>
    <row r="714" spans="1:13" hidden="1" x14ac:dyDescent="0.25">
      <c r="A714" s="7">
        <v>19</v>
      </c>
      <c r="B714" s="1" t="s">
        <v>37</v>
      </c>
      <c r="C714" s="1">
        <v>5.0999999999999996</v>
      </c>
      <c r="D714" s="1" t="s">
        <v>41</v>
      </c>
      <c r="E714" s="1">
        <v>6.3</v>
      </c>
      <c r="F714" s="1">
        <v>2.2999999999999998</v>
      </c>
      <c r="G714" s="1">
        <v>2.5499999999999998</v>
      </c>
      <c r="H714" s="1">
        <v>2</v>
      </c>
      <c r="I714" s="1" t="s">
        <v>40</v>
      </c>
      <c r="J714" s="1">
        <v>6</v>
      </c>
      <c r="K714" s="1">
        <v>9</v>
      </c>
      <c r="L714" s="1">
        <v>7</v>
      </c>
      <c r="M714" s="8">
        <v>0</v>
      </c>
    </row>
    <row r="715" spans="1:13" hidden="1" x14ac:dyDescent="0.25">
      <c r="A715" s="7">
        <v>15</v>
      </c>
      <c r="B715" s="1" t="s">
        <v>34</v>
      </c>
      <c r="C715" s="1">
        <v>1</v>
      </c>
      <c r="D715" s="1" t="s">
        <v>38</v>
      </c>
      <c r="E715" s="1">
        <v>8.5</v>
      </c>
      <c r="F715" s="1">
        <v>2</v>
      </c>
      <c r="G715" s="1">
        <v>3.77</v>
      </c>
      <c r="H715" s="1">
        <v>1.9</v>
      </c>
      <c r="I715" s="1" t="s">
        <v>39</v>
      </c>
      <c r="J715" s="1">
        <v>4</v>
      </c>
      <c r="K715" s="1">
        <v>1</v>
      </c>
      <c r="L715" s="1">
        <v>7</v>
      </c>
      <c r="M715" s="8">
        <v>0</v>
      </c>
    </row>
    <row r="716" spans="1:13" x14ac:dyDescent="0.25">
      <c r="A716" s="7">
        <v>15</v>
      </c>
      <c r="B716" s="1" t="s">
        <v>37</v>
      </c>
      <c r="C716" s="1">
        <v>1.1000000000000001</v>
      </c>
      <c r="D716" s="1" t="s">
        <v>35</v>
      </c>
      <c r="E716" s="1">
        <v>4.5999999999999996</v>
      </c>
      <c r="F716" s="1">
        <v>1.8</v>
      </c>
      <c r="G716" s="1">
        <v>2.35</v>
      </c>
      <c r="H716" s="1">
        <v>1.1000000000000001</v>
      </c>
      <c r="I716" s="1" t="s">
        <v>40</v>
      </c>
      <c r="J716" s="1">
        <v>10</v>
      </c>
      <c r="K716" s="1">
        <v>6</v>
      </c>
      <c r="L716" s="1">
        <v>6</v>
      </c>
      <c r="M716" s="8">
        <v>0</v>
      </c>
    </row>
    <row r="717" spans="1:13" x14ac:dyDescent="0.25">
      <c r="A717" s="7">
        <v>13</v>
      </c>
      <c r="B717" s="1" t="s">
        <v>37</v>
      </c>
      <c r="C717" s="1">
        <v>7</v>
      </c>
      <c r="D717" s="1" t="s">
        <v>35</v>
      </c>
      <c r="E717" s="1">
        <v>4.9000000000000004</v>
      </c>
      <c r="F717" s="1">
        <v>1.2</v>
      </c>
      <c r="G717" s="1">
        <v>3.61</v>
      </c>
      <c r="H717" s="1">
        <v>0.2</v>
      </c>
      <c r="I717" s="1" t="s">
        <v>40</v>
      </c>
      <c r="J717" s="1">
        <v>2</v>
      </c>
      <c r="K717" s="1">
        <v>3</v>
      </c>
      <c r="L717" s="1">
        <v>5</v>
      </c>
      <c r="M717" s="8">
        <v>0</v>
      </c>
    </row>
    <row r="718" spans="1:13" hidden="1" x14ac:dyDescent="0.25">
      <c r="A718" s="7">
        <v>15</v>
      </c>
      <c r="B718" s="1" t="s">
        <v>37</v>
      </c>
      <c r="C718" s="1">
        <v>2.7</v>
      </c>
      <c r="D718" s="1" t="s">
        <v>41</v>
      </c>
      <c r="E718" s="1">
        <v>7.8</v>
      </c>
      <c r="F718" s="1">
        <v>1.8</v>
      </c>
      <c r="G718" s="1">
        <v>3.9</v>
      </c>
      <c r="H718" s="1">
        <v>1.4</v>
      </c>
      <c r="I718" s="1" t="s">
        <v>36</v>
      </c>
      <c r="J718" s="1">
        <v>5</v>
      </c>
      <c r="K718" s="1">
        <v>8</v>
      </c>
      <c r="L718" s="1">
        <v>9</v>
      </c>
      <c r="M718" s="8">
        <v>0</v>
      </c>
    </row>
    <row r="719" spans="1:13" hidden="1" x14ac:dyDescent="0.25">
      <c r="A719" s="7">
        <v>18</v>
      </c>
      <c r="B719" s="1" t="s">
        <v>34</v>
      </c>
      <c r="C719" s="1">
        <v>2.5</v>
      </c>
      <c r="D719" s="1" t="s">
        <v>35</v>
      </c>
      <c r="E719" s="1">
        <v>4.2</v>
      </c>
      <c r="F719" s="1">
        <v>1.4</v>
      </c>
      <c r="G719" s="1">
        <v>3.9</v>
      </c>
      <c r="H719" s="1">
        <v>0.7</v>
      </c>
      <c r="I719" s="1" t="s">
        <v>39</v>
      </c>
      <c r="J719" s="1">
        <v>5</v>
      </c>
      <c r="K719" s="1">
        <v>2</v>
      </c>
      <c r="L719" s="1">
        <v>3</v>
      </c>
      <c r="M719" s="8">
        <v>0</v>
      </c>
    </row>
    <row r="720" spans="1:13" hidden="1" x14ac:dyDescent="0.25">
      <c r="A720" s="7">
        <v>18</v>
      </c>
      <c r="B720" s="1" t="s">
        <v>37</v>
      </c>
      <c r="C720" s="1">
        <v>2.2999999999999998</v>
      </c>
      <c r="D720" s="1" t="s">
        <v>38</v>
      </c>
      <c r="E720" s="1">
        <v>4.3</v>
      </c>
      <c r="F720" s="1">
        <v>0.9</v>
      </c>
      <c r="G720" s="1">
        <v>3.27</v>
      </c>
      <c r="H720" s="1">
        <v>0.1</v>
      </c>
      <c r="I720" s="1" t="s">
        <v>39</v>
      </c>
      <c r="J720" s="1">
        <v>5</v>
      </c>
      <c r="K720" s="1">
        <v>9</v>
      </c>
      <c r="L720" s="1">
        <v>10</v>
      </c>
      <c r="M720" s="8">
        <v>0</v>
      </c>
    </row>
    <row r="721" spans="1:13" hidden="1" x14ac:dyDescent="0.25">
      <c r="A721" s="7">
        <v>17</v>
      </c>
      <c r="B721" s="1" t="s">
        <v>37</v>
      </c>
      <c r="C721" s="1">
        <v>2.7</v>
      </c>
      <c r="D721" s="1" t="s">
        <v>38</v>
      </c>
      <c r="E721" s="1">
        <v>6.6</v>
      </c>
      <c r="F721" s="1">
        <v>1.6</v>
      </c>
      <c r="G721" s="1">
        <v>3.36</v>
      </c>
      <c r="H721" s="1">
        <v>1.6</v>
      </c>
      <c r="I721" s="1" t="s">
        <v>39</v>
      </c>
      <c r="J721" s="1">
        <v>3</v>
      </c>
      <c r="K721" s="1">
        <v>1</v>
      </c>
      <c r="L721" s="1">
        <v>2</v>
      </c>
      <c r="M721" s="8">
        <v>0</v>
      </c>
    </row>
    <row r="722" spans="1:13" hidden="1" x14ac:dyDescent="0.25">
      <c r="A722" s="7">
        <v>14</v>
      </c>
      <c r="B722" s="1" t="s">
        <v>34</v>
      </c>
      <c r="C722" s="1">
        <v>3.2</v>
      </c>
      <c r="D722" s="1" t="s">
        <v>35</v>
      </c>
      <c r="E722" s="1">
        <v>5.4</v>
      </c>
      <c r="F722" s="1">
        <v>2.6</v>
      </c>
      <c r="G722" s="1">
        <v>3.18</v>
      </c>
      <c r="H722" s="1">
        <v>0.9</v>
      </c>
      <c r="I722" s="1" t="s">
        <v>36</v>
      </c>
      <c r="J722" s="1">
        <v>9</v>
      </c>
      <c r="K722" s="1">
        <v>1</v>
      </c>
      <c r="L722" s="1">
        <v>7</v>
      </c>
      <c r="M722" s="8">
        <v>0</v>
      </c>
    </row>
    <row r="723" spans="1:13" hidden="1" x14ac:dyDescent="0.25">
      <c r="A723" s="7">
        <v>18</v>
      </c>
      <c r="B723" s="1" t="s">
        <v>37</v>
      </c>
      <c r="C723" s="1">
        <v>3.8</v>
      </c>
      <c r="D723" s="1" t="s">
        <v>41</v>
      </c>
      <c r="E723" s="1">
        <v>5.3</v>
      </c>
      <c r="F723" s="1">
        <v>2.2999999999999998</v>
      </c>
      <c r="G723" s="1">
        <v>3.42</v>
      </c>
      <c r="H723" s="1">
        <v>0.4</v>
      </c>
      <c r="I723" s="1" t="s">
        <v>36</v>
      </c>
      <c r="J723" s="1">
        <v>4</v>
      </c>
      <c r="K723" s="1">
        <v>8</v>
      </c>
      <c r="L723" s="1">
        <v>2</v>
      </c>
      <c r="M723" s="8">
        <v>0</v>
      </c>
    </row>
    <row r="724" spans="1:13" hidden="1" x14ac:dyDescent="0.25">
      <c r="A724" s="7">
        <v>14</v>
      </c>
      <c r="B724" s="1" t="s">
        <v>37</v>
      </c>
      <c r="C724" s="1">
        <v>4.0999999999999996</v>
      </c>
      <c r="D724" s="1" t="s">
        <v>38</v>
      </c>
      <c r="E724" s="1">
        <v>5.4</v>
      </c>
      <c r="F724" s="1">
        <v>2.4</v>
      </c>
      <c r="G724" s="1">
        <v>2.71</v>
      </c>
      <c r="H724" s="1">
        <v>1.3</v>
      </c>
      <c r="I724" s="1" t="s">
        <v>36</v>
      </c>
      <c r="J724" s="1">
        <v>9</v>
      </c>
      <c r="K724" s="1">
        <v>5</v>
      </c>
      <c r="L724" s="1">
        <v>10</v>
      </c>
      <c r="M724" s="8">
        <v>0</v>
      </c>
    </row>
    <row r="725" spans="1:13" hidden="1" x14ac:dyDescent="0.25">
      <c r="A725" s="7">
        <v>13</v>
      </c>
      <c r="B725" s="1" t="s">
        <v>37</v>
      </c>
      <c r="C725" s="1">
        <v>2.2999999999999998</v>
      </c>
      <c r="D725" s="1" t="s">
        <v>38</v>
      </c>
      <c r="E725" s="1">
        <v>6.6</v>
      </c>
      <c r="F725" s="1">
        <v>1.4</v>
      </c>
      <c r="G725" s="1">
        <v>3.74</v>
      </c>
      <c r="H725" s="1">
        <v>1.5</v>
      </c>
      <c r="I725" s="1" t="s">
        <v>40</v>
      </c>
      <c r="J725" s="1">
        <v>6</v>
      </c>
      <c r="K725" s="1">
        <v>10</v>
      </c>
      <c r="L725" s="1">
        <v>1</v>
      </c>
      <c r="M725" s="8">
        <v>0</v>
      </c>
    </row>
    <row r="726" spans="1:13" hidden="1" x14ac:dyDescent="0.25">
      <c r="A726" s="7">
        <v>15</v>
      </c>
      <c r="B726" s="1" t="s">
        <v>34</v>
      </c>
      <c r="C726" s="1">
        <v>8</v>
      </c>
      <c r="D726" s="1" t="s">
        <v>35</v>
      </c>
      <c r="E726" s="1">
        <v>4.7</v>
      </c>
      <c r="F726" s="1">
        <v>0.6</v>
      </c>
      <c r="G726" s="1">
        <v>3.01</v>
      </c>
      <c r="H726" s="1">
        <v>1.8</v>
      </c>
      <c r="I726" s="1" t="s">
        <v>40</v>
      </c>
      <c r="J726" s="1">
        <v>2</v>
      </c>
      <c r="K726" s="1">
        <v>9</v>
      </c>
      <c r="L726" s="1">
        <v>10</v>
      </c>
      <c r="M726" s="8">
        <v>0</v>
      </c>
    </row>
    <row r="727" spans="1:13" hidden="1" x14ac:dyDescent="0.25">
      <c r="A727" s="7">
        <v>15</v>
      </c>
      <c r="B727" s="1" t="s">
        <v>37</v>
      </c>
      <c r="C727" s="1">
        <v>2.9</v>
      </c>
      <c r="D727" s="1" t="s">
        <v>38</v>
      </c>
      <c r="E727" s="1">
        <v>6.4</v>
      </c>
      <c r="F727" s="1">
        <v>0.7</v>
      </c>
      <c r="G727" s="1">
        <v>3.41</v>
      </c>
      <c r="H727" s="1">
        <v>1.6</v>
      </c>
      <c r="I727" s="1" t="s">
        <v>36</v>
      </c>
      <c r="J727" s="1">
        <v>3</v>
      </c>
      <c r="K727" s="1">
        <v>10</v>
      </c>
      <c r="L727" s="1">
        <v>7</v>
      </c>
      <c r="M727" s="8">
        <v>0</v>
      </c>
    </row>
    <row r="728" spans="1:13" hidden="1" x14ac:dyDescent="0.25">
      <c r="A728" s="7">
        <v>19</v>
      </c>
      <c r="B728" s="1" t="s">
        <v>37</v>
      </c>
      <c r="C728" s="1">
        <v>4.4000000000000004</v>
      </c>
      <c r="D728" s="1" t="s">
        <v>41</v>
      </c>
      <c r="E728" s="1">
        <v>5</v>
      </c>
      <c r="F728" s="1">
        <v>2.8</v>
      </c>
      <c r="G728" s="1">
        <v>2.69</v>
      </c>
      <c r="H728" s="1">
        <v>0.4</v>
      </c>
      <c r="I728" s="1" t="s">
        <v>39</v>
      </c>
      <c r="J728" s="1">
        <v>3</v>
      </c>
      <c r="K728" s="1">
        <v>8</v>
      </c>
      <c r="L728" s="1">
        <v>8</v>
      </c>
      <c r="M728" s="8">
        <v>0</v>
      </c>
    </row>
    <row r="729" spans="1:13" hidden="1" x14ac:dyDescent="0.25">
      <c r="A729" s="7">
        <v>18</v>
      </c>
      <c r="B729" s="1" t="s">
        <v>37</v>
      </c>
      <c r="C729" s="1">
        <v>3.1</v>
      </c>
      <c r="D729" s="1" t="s">
        <v>41</v>
      </c>
      <c r="E729" s="1">
        <v>6.8</v>
      </c>
      <c r="F729" s="1">
        <v>2</v>
      </c>
      <c r="G729" s="1">
        <v>3.77</v>
      </c>
      <c r="H729" s="1">
        <v>1.4</v>
      </c>
      <c r="I729" s="1" t="s">
        <v>36</v>
      </c>
      <c r="J729" s="1">
        <v>1</v>
      </c>
      <c r="K729" s="1">
        <v>3</v>
      </c>
      <c r="L729" s="1">
        <v>4</v>
      </c>
      <c r="M729" s="8">
        <v>0</v>
      </c>
    </row>
    <row r="730" spans="1:13" hidden="1" x14ac:dyDescent="0.25">
      <c r="A730" s="7">
        <v>18</v>
      </c>
      <c r="B730" s="1" t="s">
        <v>34</v>
      </c>
      <c r="C730" s="1">
        <v>7.9</v>
      </c>
      <c r="D730" s="1" t="s">
        <v>38</v>
      </c>
      <c r="E730" s="1">
        <v>7.5</v>
      </c>
      <c r="F730" s="1">
        <v>2</v>
      </c>
      <c r="G730" s="1">
        <v>2.77</v>
      </c>
      <c r="H730" s="1">
        <v>0.9</v>
      </c>
      <c r="I730" s="1" t="s">
        <v>36</v>
      </c>
      <c r="J730" s="1">
        <v>10</v>
      </c>
      <c r="K730" s="1">
        <v>4</v>
      </c>
      <c r="L730" s="1">
        <v>4</v>
      </c>
      <c r="M730" s="8">
        <v>0</v>
      </c>
    </row>
    <row r="731" spans="1:13" hidden="1" x14ac:dyDescent="0.25">
      <c r="A731" s="7">
        <v>14</v>
      </c>
      <c r="B731" s="1" t="s">
        <v>37</v>
      </c>
      <c r="C731" s="1">
        <v>1.2</v>
      </c>
      <c r="D731" s="1" t="s">
        <v>41</v>
      </c>
      <c r="E731" s="1">
        <v>7</v>
      </c>
      <c r="F731" s="1">
        <v>2.2000000000000002</v>
      </c>
      <c r="G731" s="1">
        <v>3.83</v>
      </c>
      <c r="H731" s="1">
        <v>0.8</v>
      </c>
      <c r="I731" s="1" t="s">
        <v>36</v>
      </c>
      <c r="J731" s="1">
        <v>6</v>
      </c>
      <c r="K731" s="1">
        <v>10</v>
      </c>
      <c r="L731" s="1">
        <v>5</v>
      </c>
      <c r="M731" s="8">
        <v>0</v>
      </c>
    </row>
    <row r="732" spans="1:13" hidden="1" x14ac:dyDescent="0.25">
      <c r="A732" s="7">
        <v>19</v>
      </c>
      <c r="B732" s="1" t="s">
        <v>37</v>
      </c>
      <c r="C732" s="1">
        <v>4</v>
      </c>
      <c r="D732" s="1" t="s">
        <v>41</v>
      </c>
      <c r="E732" s="1">
        <v>7.4</v>
      </c>
      <c r="F732" s="1">
        <v>2.7</v>
      </c>
      <c r="G732" s="1">
        <v>3.41</v>
      </c>
      <c r="H732" s="1">
        <v>1.4</v>
      </c>
      <c r="I732" s="1" t="s">
        <v>40</v>
      </c>
      <c r="J732" s="1">
        <v>9</v>
      </c>
      <c r="K732" s="1">
        <v>4</v>
      </c>
      <c r="L732" s="1">
        <v>7</v>
      </c>
      <c r="M732" s="8">
        <v>0</v>
      </c>
    </row>
    <row r="733" spans="1:13" hidden="1" x14ac:dyDescent="0.25">
      <c r="A733" s="7">
        <v>18</v>
      </c>
      <c r="B733" s="1" t="s">
        <v>34</v>
      </c>
      <c r="C733" s="1">
        <v>1</v>
      </c>
      <c r="D733" s="1" t="s">
        <v>35</v>
      </c>
      <c r="E733" s="1">
        <v>7.1</v>
      </c>
      <c r="F733" s="1">
        <v>0.8</v>
      </c>
      <c r="G733" s="1">
        <v>2.4700000000000002</v>
      </c>
      <c r="H733" s="1">
        <v>1.9</v>
      </c>
      <c r="I733" s="1" t="s">
        <v>39</v>
      </c>
      <c r="J733" s="1">
        <v>4</v>
      </c>
      <c r="K733" s="1">
        <v>2</v>
      </c>
      <c r="L733" s="1">
        <v>4</v>
      </c>
      <c r="M733" s="8">
        <v>0</v>
      </c>
    </row>
    <row r="734" spans="1:13" x14ac:dyDescent="0.25">
      <c r="A734" s="7">
        <v>19</v>
      </c>
      <c r="B734" s="1" t="s">
        <v>37</v>
      </c>
      <c r="C734" s="1">
        <v>7.9</v>
      </c>
      <c r="D734" s="1" t="s">
        <v>35</v>
      </c>
      <c r="E734" s="1">
        <v>5.7</v>
      </c>
      <c r="F734" s="1">
        <v>2.4</v>
      </c>
      <c r="G734" s="1">
        <v>3.59</v>
      </c>
      <c r="H734" s="1">
        <v>1.9</v>
      </c>
      <c r="I734" s="1" t="s">
        <v>39</v>
      </c>
      <c r="J734" s="1">
        <v>1</v>
      </c>
      <c r="K734" s="1">
        <v>9</v>
      </c>
      <c r="L734" s="1">
        <v>9</v>
      </c>
      <c r="M734" s="8">
        <v>0</v>
      </c>
    </row>
    <row r="735" spans="1:13" hidden="1" x14ac:dyDescent="0.25">
      <c r="A735" s="7">
        <v>14</v>
      </c>
      <c r="B735" s="1" t="s">
        <v>34</v>
      </c>
      <c r="C735" s="1">
        <v>6.2</v>
      </c>
      <c r="D735" s="1" t="s">
        <v>38</v>
      </c>
      <c r="E735" s="1">
        <v>4.4000000000000004</v>
      </c>
      <c r="F735" s="1">
        <v>0.7</v>
      </c>
      <c r="G735" s="1">
        <v>3.45</v>
      </c>
      <c r="H735" s="1">
        <v>0.5</v>
      </c>
      <c r="I735" s="1" t="s">
        <v>40</v>
      </c>
      <c r="J735" s="1">
        <v>9</v>
      </c>
      <c r="K735" s="1">
        <v>10</v>
      </c>
      <c r="L735" s="1">
        <v>3</v>
      </c>
      <c r="M735" s="8">
        <v>1</v>
      </c>
    </row>
    <row r="736" spans="1:13" x14ac:dyDescent="0.25">
      <c r="A736" s="7">
        <v>16</v>
      </c>
      <c r="B736" s="1" t="s">
        <v>37</v>
      </c>
      <c r="C736" s="1">
        <v>2.5</v>
      </c>
      <c r="D736" s="1" t="s">
        <v>35</v>
      </c>
      <c r="E736" s="1">
        <v>5.4</v>
      </c>
      <c r="F736" s="1">
        <v>2.2999999999999998</v>
      </c>
      <c r="G736" s="1">
        <v>3.43</v>
      </c>
      <c r="H736" s="1">
        <v>0.5</v>
      </c>
      <c r="I736" s="1" t="s">
        <v>39</v>
      </c>
      <c r="J736" s="1">
        <v>9</v>
      </c>
      <c r="K736" s="1">
        <v>1</v>
      </c>
      <c r="L736" s="1">
        <v>2</v>
      </c>
      <c r="M736" s="8">
        <v>0</v>
      </c>
    </row>
    <row r="737" spans="1:13" hidden="1" x14ac:dyDescent="0.25">
      <c r="A737" s="7">
        <v>16</v>
      </c>
      <c r="B737" s="1" t="s">
        <v>34</v>
      </c>
      <c r="C737" s="1">
        <v>4.7</v>
      </c>
      <c r="D737" s="1" t="s">
        <v>41</v>
      </c>
      <c r="E737" s="1">
        <v>8.1999999999999993</v>
      </c>
      <c r="F737" s="1">
        <v>2.6</v>
      </c>
      <c r="G737" s="1">
        <v>3.05</v>
      </c>
      <c r="H737" s="1">
        <v>1</v>
      </c>
      <c r="I737" s="1" t="s">
        <v>40</v>
      </c>
      <c r="J737" s="1">
        <v>4</v>
      </c>
      <c r="K737" s="1">
        <v>7</v>
      </c>
      <c r="L737" s="1">
        <v>2</v>
      </c>
      <c r="M737" s="8">
        <v>0</v>
      </c>
    </row>
    <row r="738" spans="1:13" hidden="1" x14ac:dyDescent="0.25">
      <c r="A738" s="7">
        <v>16</v>
      </c>
      <c r="B738" s="1" t="s">
        <v>34</v>
      </c>
      <c r="C738" s="1">
        <v>6.3</v>
      </c>
      <c r="D738" s="1" t="s">
        <v>35</v>
      </c>
      <c r="E738" s="1">
        <v>6.5</v>
      </c>
      <c r="F738" s="1">
        <v>1</v>
      </c>
      <c r="G738" s="1">
        <v>2.52</v>
      </c>
      <c r="H738" s="1">
        <v>0.4</v>
      </c>
      <c r="I738" s="1" t="s">
        <v>36</v>
      </c>
      <c r="J738" s="1">
        <v>1</v>
      </c>
      <c r="K738" s="1">
        <v>10</v>
      </c>
      <c r="L738" s="1">
        <v>6</v>
      </c>
      <c r="M738" s="8">
        <v>0</v>
      </c>
    </row>
    <row r="739" spans="1:13" hidden="1" x14ac:dyDescent="0.25">
      <c r="A739" s="7">
        <v>17</v>
      </c>
      <c r="B739" s="1" t="s">
        <v>37</v>
      </c>
      <c r="C739" s="1">
        <v>7.5</v>
      </c>
      <c r="D739" s="1" t="s">
        <v>38</v>
      </c>
      <c r="E739" s="1">
        <v>5.4</v>
      </c>
      <c r="F739" s="1">
        <v>2.2999999999999998</v>
      </c>
      <c r="G739" s="1">
        <v>3.44</v>
      </c>
      <c r="H739" s="1">
        <v>0.4</v>
      </c>
      <c r="I739" s="1" t="s">
        <v>40</v>
      </c>
      <c r="J739" s="1">
        <v>7</v>
      </c>
      <c r="K739" s="1">
        <v>9</v>
      </c>
      <c r="L739" s="1">
        <v>7</v>
      </c>
      <c r="M739" s="8">
        <v>1</v>
      </c>
    </row>
    <row r="740" spans="1:13" hidden="1" x14ac:dyDescent="0.25">
      <c r="A740" s="7">
        <v>18</v>
      </c>
      <c r="B740" s="1" t="s">
        <v>34</v>
      </c>
      <c r="C740" s="1">
        <v>2</v>
      </c>
      <c r="D740" s="1" t="s">
        <v>38</v>
      </c>
      <c r="E740" s="1">
        <v>8.4</v>
      </c>
      <c r="F740" s="1">
        <v>1.5</v>
      </c>
      <c r="G740" s="1">
        <v>2.83</v>
      </c>
      <c r="H740" s="1">
        <v>1.2</v>
      </c>
      <c r="I740" s="1" t="s">
        <v>36</v>
      </c>
      <c r="J740" s="1">
        <v>9</v>
      </c>
      <c r="K740" s="1">
        <v>4</v>
      </c>
      <c r="L740" s="1">
        <v>5</v>
      </c>
      <c r="M740" s="8">
        <v>0</v>
      </c>
    </row>
    <row r="741" spans="1:13" x14ac:dyDescent="0.25">
      <c r="A741" s="7">
        <v>13</v>
      </c>
      <c r="B741" s="1" t="s">
        <v>37</v>
      </c>
      <c r="C741" s="1">
        <v>6.3</v>
      </c>
      <c r="D741" s="1" t="s">
        <v>35</v>
      </c>
      <c r="E741" s="1">
        <v>8.4</v>
      </c>
      <c r="F741" s="1">
        <v>1.6</v>
      </c>
      <c r="G741" s="1">
        <v>2.0299999999999998</v>
      </c>
      <c r="H741" s="1">
        <v>1.5</v>
      </c>
      <c r="I741" s="1" t="s">
        <v>40</v>
      </c>
      <c r="J741" s="1">
        <v>5</v>
      </c>
      <c r="K741" s="1">
        <v>3</v>
      </c>
      <c r="L741" s="1">
        <v>9</v>
      </c>
      <c r="M741" s="8">
        <v>0</v>
      </c>
    </row>
    <row r="742" spans="1:13" hidden="1" x14ac:dyDescent="0.25">
      <c r="A742" s="7">
        <v>16</v>
      </c>
      <c r="B742" s="1" t="s">
        <v>34</v>
      </c>
      <c r="C742" s="1">
        <v>6.6</v>
      </c>
      <c r="D742" s="1" t="s">
        <v>41</v>
      </c>
      <c r="E742" s="1">
        <v>8.9</v>
      </c>
      <c r="F742" s="1">
        <v>2</v>
      </c>
      <c r="G742" s="1">
        <v>3.44</v>
      </c>
      <c r="H742" s="1">
        <v>1.7</v>
      </c>
      <c r="I742" s="1" t="s">
        <v>36</v>
      </c>
      <c r="J742" s="1">
        <v>10</v>
      </c>
      <c r="K742" s="1">
        <v>9</v>
      </c>
      <c r="L742" s="1">
        <v>3</v>
      </c>
      <c r="M742" s="8">
        <v>0</v>
      </c>
    </row>
    <row r="743" spans="1:13" hidden="1" x14ac:dyDescent="0.25">
      <c r="A743" s="7">
        <v>19</v>
      </c>
      <c r="B743" s="1" t="s">
        <v>37</v>
      </c>
      <c r="C743" s="1">
        <v>3.6</v>
      </c>
      <c r="D743" s="1" t="s">
        <v>41</v>
      </c>
      <c r="E743" s="1">
        <v>5.6</v>
      </c>
      <c r="F743" s="1">
        <v>1.7</v>
      </c>
      <c r="G743" s="1">
        <v>3.57</v>
      </c>
      <c r="H743" s="1">
        <v>1.5</v>
      </c>
      <c r="I743" s="1" t="s">
        <v>36</v>
      </c>
      <c r="J743" s="1">
        <v>10</v>
      </c>
      <c r="K743" s="1">
        <v>4</v>
      </c>
      <c r="L743" s="1">
        <v>3</v>
      </c>
      <c r="M743" s="8">
        <v>0</v>
      </c>
    </row>
    <row r="744" spans="1:13" hidden="1" x14ac:dyDescent="0.25">
      <c r="A744" s="7">
        <v>16</v>
      </c>
      <c r="B744" s="1" t="s">
        <v>37</v>
      </c>
      <c r="C744" s="1">
        <v>3.2</v>
      </c>
      <c r="D744" s="1" t="s">
        <v>41</v>
      </c>
      <c r="E744" s="1">
        <v>4.5999999999999996</v>
      </c>
      <c r="F744" s="1">
        <v>2.5</v>
      </c>
      <c r="G744" s="1">
        <v>2.62</v>
      </c>
      <c r="H744" s="1">
        <v>1.8</v>
      </c>
      <c r="I744" s="1" t="s">
        <v>36</v>
      </c>
      <c r="J744" s="1">
        <v>9</v>
      </c>
      <c r="K744" s="1">
        <v>5</v>
      </c>
      <c r="L744" s="1">
        <v>1</v>
      </c>
      <c r="M744" s="8">
        <v>0</v>
      </c>
    </row>
    <row r="745" spans="1:13" x14ac:dyDescent="0.25">
      <c r="A745" s="7">
        <v>13</v>
      </c>
      <c r="B745" s="1" t="s">
        <v>37</v>
      </c>
      <c r="C745" s="1">
        <v>3.1</v>
      </c>
      <c r="D745" s="1" t="s">
        <v>35</v>
      </c>
      <c r="E745" s="1">
        <v>6.4</v>
      </c>
      <c r="F745" s="1">
        <v>1.6</v>
      </c>
      <c r="G745" s="1">
        <v>3.69</v>
      </c>
      <c r="H745" s="1">
        <v>0.9</v>
      </c>
      <c r="I745" s="1" t="s">
        <v>40</v>
      </c>
      <c r="J745" s="1">
        <v>1</v>
      </c>
      <c r="K745" s="1">
        <v>2</v>
      </c>
      <c r="L745" s="1">
        <v>1</v>
      </c>
      <c r="M745" s="8">
        <v>0</v>
      </c>
    </row>
    <row r="746" spans="1:13" hidden="1" x14ac:dyDescent="0.25">
      <c r="A746" s="7">
        <v>18</v>
      </c>
      <c r="B746" s="1" t="s">
        <v>34</v>
      </c>
      <c r="C746" s="1">
        <v>6.7</v>
      </c>
      <c r="D746" s="1" t="s">
        <v>35</v>
      </c>
      <c r="E746" s="1">
        <v>8.8000000000000007</v>
      </c>
      <c r="F746" s="1">
        <v>1.9</v>
      </c>
      <c r="G746" s="1">
        <v>2.5499999999999998</v>
      </c>
      <c r="H746" s="1">
        <v>1</v>
      </c>
      <c r="I746" s="1" t="s">
        <v>36</v>
      </c>
      <c r="J746" s="1">
        <v>5</v>
      </c>
      <c r="K746" s="1">
        <v>8</v>
      </c>
      <c r="L746" s="1">
        <v>3</v>
      </c>
      <c r="M746" s="8">
        <v>0</v>
      </c>
    </row>
    <row r="747" spans="1:13" hidden="1" x14ac:dyDescent="0.25">
      <c r="A747" s="7">
        <v>17</v>
      </c>
      <c r="B747" s="1" t="s">
        <v>34</v>
      </c>
      <c r="C747" s="1">
        <v>6.6</v>
      </c>
      <c r="D747" s="1" t="s">
        <v>38</v>
      </c>
      <c r="E747" s="1">
        <v>8.1999999999999993</v>
      </c>
      <c r="F747" s="1">
        <v>0.7</v>
      </c>
      <c r="G747" s="1">
        <v>2.88</v>
      </c>
      <c r="H747" s="1">
        <v>0.8</v>
      </c>
      <c r="I747" s="1" t="s">
        <v>36</v>
      </c>
      <c r="J747" s="1">
        <v>1</v>
      </c>
      <c r="K747" s="1">
        <v>7</v>
      </c>
      <c r="L747" s="1">
        <v>7</v>
      </c>
      <c r="M747" s="8">
        <v>0</v>
      </c>
    </row>
    <row r="748" spans="1:13" x14ac:dyDescent="0.25">
      <c r="A748" s="7">
        <v>14</v>
      </c>
      <c r="B748" s="1" t="s">
        <v>37</v>
      </c>
      <c r="C748" s="1">
        <v>7</v>
      </c>
      <c r="D748" s="1" t="s">
        <v>35</v>
      </c>
      <c r="E748" s="1">
        <v>4.5</v>
      </c>
      <c r="F748" s="1">
        <v>1.6</v>
      </c>
      <c r="G748" s="1">
        <v>2.83</v>
      </c>
      <c r="H748" s="1">
        <v>0.4</v>
      </c>
      <c r="I748" s="1" t="s">
        <v>40</v>
      </c>
      <c r="J748" s="1">
        <v>8</v>
      </c>
      <c r="K748" s="1">
        <v>1</v>
      </c>
      <c r="L748" s="1">
        <v>7</v>
      </c>
      <c r="M748" s="8">
        <v>0</v>
      </c>
    </row>
    <row r="749" spans="1:13" hidden="1" x14ac:dyDescent="0.25">
      <c r="A749" s="7">
        <v>16</v>
      </c>
      <c r="B749" s="1" t="s">
        <v>37</v>
      </c>
      <c r="C749" s="1">
        <v>4.8</v>
      </c>
      <c r="D749" s="1" t="s">
        <v>41</v>
      </c>
      <c r="E749" s="1">
        <v>5.0999999999999996</v>
      </c>
      <c r="F749" s="1">
        <v>2.1</v>
      </c>
      <c r="G749" s="1">
        <v>2.4900000000000002</v>
      </c>
      <c r="H749" s="1">
        <v>1.6</v>
      </c>
      <c r="I749" s="1" t="s">
        <v>36</v>
      </c>
      <c r="J749" s="1">
        <v>4</v>
      </c>
      <c r="K749" s="1">
        <v>9</v>
      </c>
      <c r="L749" s="1">
        <v>1</v>
      </c>
      <c r="M749" s="8">
        <v>0</v>
      </c>
    </row>
    <row r="750" spans="1:13" x14ac:dyDescent="0.25">
      <c r="A750" s="7">
        <v>13</v>
      </c>
      <c r="B750" s="1" t="s">
        <v>37</v>
      </c>
      <c r="C750" s="1">
        <v>5.8</v>
      </c>
      <c r="D750" s="1" t="s">
        <v>35</v>
      </c>
      <c r="E750" s="1">
        <v>6.3</v>
      </c>
      <c r="F750" s="1">
        <v>1.1000000000000001</v>
      </c>
      <c r="G750" s="1">
        <v>3.09</v>
      </c>
      <c r="H750" s="1">
        <v>0.9</v>
      </c>
      <c r="I750" s="1" t="s">
        <v>40</v>
      </c>
      <c r="J750" s="1">
        <v>8</v>
      </c>
      <c r="K750" s="1">
        <v>4</v>
      </c>
      <c r="L750" s="1">
        <v>9</v>
      </c>
      <c r="M750" s="8">
        <v>0</v>
      </c>
    </row>
    <row r="751" spans="1:13" hidden="1" x14ac:dyDescent="0.25">
      <c r="A751" s="7">
        <v>19</v>
      </c>
      <c r="B751" s="1" t="s">
        <v>37</v>
      </c>
      <c r="C751" s="1">
        <v>6</v>
      </c>
      <c r="D751" s="1" t="s">
        <v>41</v>
      </c>
      <c r="E751" s="1">
        <v>6.3</v>
      </c>
      <c r="F751" s="1">
        <v>2.8</v>
      </c>
      <c r="G751" s="1">
        <v>3.98</v>
      </c>
      <c r="H751" s="1">
        <v>2</v>
      </c>
      <c r="I751" s="1" t="s">
        <v>40</v>
      </c>
      <c r="J751" s="1">
        <v>2</v>
      </c>
      <c r="K751" s="1">
        <v>6</v>
      </c>
      <c r="L751" s="1">
        <v>2</v>
      </c>
      <c r="M751" s="8">
        <v>0</v>
      </c>
    </row>
    <row r="752" spans="1:13" hidden="1" x14ac:dyDescent="0.25">
      <c r="A752" s="7">
        <v>15</v>
      </c>
      <c r="B752" s="1" t="s">
        <v>34</v>
      </c>
      <c r="C752" s="1">
        <v>4</v>
      </c>
      <c r="D752" s="1" t="s">
        <v>41</v>
      </c>
      <c r="E752" s="1">
        <v>5.2</v>
      </c>
      <c r="F752" s="1">
        <v>1.8</v>
      </c>
      <c r="G752" s="1">
        <v>3.3</v>
      </c>
      <c r="H752" s="1">
        <v>0.7</v>
      </c>
      <c r="I752" s="1" t="s">
        <v>40</v>
      </c>
      <c r="J752" s="1">
        <v>10</v>
      </c>
      <c r="K752" s="1">
        <v>5</v>
      </c>
      <c r="L752" s="1">
        <v>1</v>
      </c>
      <c r="M752" s="8">
        <v>0</v>
      </c>
    </row>
    <row r="753" spans="1:13" hidden="1" x14ac:dyDescent="0.25">
      <c r="A753" s="7">
        <v>14</v>
      </c>
      <c r="B753" s="1" t="s">
        <v>37</v>
      </c>
      <c r="C753" s="1">
        <v>5.8</v>
      </c>
      <c r="D753" s="1" t="s">
        <v>41</v>
      </c>
      <c r="E753" s="1">
        <v>4.8</v>
      </c>
      <c r="F753" s="1">
        <v>2.6</v>
      </c>
      <c r="G753" s="1">
        <v>2.08</v>
      </c>
      <c r="H753" s="1">
        <v>0.8</v>
      </c>
      <c r="I753" s="1" t="s">
        <v>40</v>
      </c>
      <c r="J753" s="1">
        <v>6</v>
      </c>
      <c r="K753" s="1">
        <v>4</v>
      </c>
      <c r="L753" s="1">
        <v>9</v>
      </c>
      <c r="M753" s="8">
        <v>0</v>
      </c>
    </row>
    <row r="754" spans="1:13" hidden="1" x14ac:dyDescent="0.25">
      <c r="A754" s="7">
        <v>19</v>
      </c>
      <c r="B754" s="1" t="s">
        <v>34</v>
      </c>
      <c r="C754" s="1">
        <v>5.2</v>
      </c>
      <c r="D754" s="1" t="s">
        <v>35</v>
      </c>
      <c r="E754" s="1">
        <v>7.6</v>
      </c>
      <c r="F754" s="1">
        <v>1.3</v>
      </c>
      <c r="G754" s="1">
        <v>3.89</v>
      </c>
      <c r="H754" s="1">
        <v>1.5</v>
      </c>
      <c r="I754" s="1" t="s">
        <v>39</v>
      </c>
      <c r="J754" s="1">
        <v>4</v>
      </c>
      <c r="K754" s="1">
        <v>5</v>
      </c>
      <c r="L754" s="1">
        <v>8</v>
      </c>
      <c r="M754" s="8">
        <v>0</v>
      </c>
    </row>
    <row r="755" spans="1:13" hidden="1" x14ac:dyDescent="0.25">
      <c r="A755" s="7">
        <v>17</v>
      </c>
      <c r="B755" s="1" t="s">
        <v>34</v>
      </c>
      <c r="C755" s="1">
        <v>2.9</v>
      </c>
      <c r="D755" s="1" t="s">
        <v>41</v>
      </c>
      <c r="E755" s="1">
        <v>6.7</v>
      </c>
      <c r="F755" s="1">
        <v>1.5</v>
      </c>
      <c r="G755" s="1">
        <v>3.62</v>
      </c>
      <c r="H755" s="1">
        <v>0.8</v>
      </c>
      <c r="I755" s="1" t="s">
        <v>40</v>
      </c>
      <c r="J755" s="1">
        <v>10</v>
      </c>
      <c r="K755" s="1">
        <v>6</v>
      </c>
      <c r="L755" s="1">
        <v>4</v>
      </c>
      <c r="M755" s="8">
        <v>0</v>
      </c>
    </row>
    <row r="756" spans="1:13" hidden="1" x14ac:dyDescent="0.25">
      <c r="A756" s="7">
        <v>18</v>
      </c>
      <c r="B756" s="1" t="s">
        <v>37</v>
      </c>
      <c r="C756" s="1">
        <v>7.5</v>
      </c>
      <c r="D756" s="1" t="s">
        <v>38</v>
      </c>
      <c r="E756" s="1">
        <v>7.5</v>
      </c>
      <c r="F756" s="1">
        <v>1.4</v>
      </c>
      <c r="G756" s="1">
        <v>3.14</v>
      </c>
      <c r="H756" s="1">
        <v>2</v>
      </c>
      <c r="I756" s="1" t="s">
        <v>36</v>
      </c>
      <c r="J756" s="1">
        <v>2</v>
      </c>
      <c r="K756" s="1">
        <v>9</v>
      </c>
      <c r="L756" s="1">
        <v>2</v>
      </c>
      <c r="M756" s="8">
        <v>0</v>
      </c>
    </row>
    <row r="757" spans="1:13" x14ac:dyDescent="0.25">
      <c r="A757" s="7">
        <v>13</v>
      </c>
      <c r="B757" s="1" t="s">
        <v>37</v>
      </c>
      <c r="C757" s="1">
        <v>5.8</v>
      </c>
      <c r="D757" s="1" t="s">
        <v>35</v>
      </c>
      <c r="E757" s="1">
        <v>6.1</v>
      </c>
      <c r="F757" s="1">
        <v>1.2</v>
      </c>
      <c r="G757" s="1">
        <v>3.81</v>
      </c>
      <c r="H757" s="1">
        <v>1.8</v>
      </c>
      <c r="I757" s="1" t="s">
        <v>40</v>
      </c>
      <c r="J757" s="1">
        <v>6</v>
      </c>
      <c r="K757" s="1">
        <v>10</v>
      </c>
      <c r="L757" s="1">
        <v>6</v>
      </c>
      <c r="M757" s="8">
        <v>0</v>
      </c>
    </row>
    <row r="758" spans="1:13" hidden="1" x14ac:dyDescent="0.25">
      <c r="A758" s="7">
        <v>14</v>
      </c>
      <c r="B758" s="1" t="s">
        <v>34</v>
      </c>
      <c r="C758" s="1">
        <v>7.6</v>
      </c>
      <c r="D758" s="1" t="s">
        <v>35</v>
      </c>
      <c r="E758" s="1">
        <v>5.8</v>
      </c>
      <c r="F758" s="1">
        <v>1.9</v>
      </c>
      <c r="G758" s="1">
        <v>3.49</v>
      </c>
      <c r="H758" s="1">
        <v>1.7</v>
      </c>
      <c r="I758" s="1" t="s">
        <v>39</v>
      </c>
      <c r="J758" s="1">
        <v>10</v>
      </c>
      <c r="K758" s="1">
        <v>1</v>
      </c>
      <c r="L758" s="1">
        <v>3</v>
      </c>
      <c r="M758" s="8">
        <v>0</v>
      </c>
    </row>
    <row r="759" spans="1:13" hidden="1" x14ac:dyDescent="0.25">
      <c r="A759" s="7">
        <v>15</v>
      </c>
      <c r="B759" s="1" t="s">
        <v>37</v>
      </c>
      <c r="C759" s="1">
        <v>1.3</v>
      </c>
      <c r="D759" s="1" t="s">
        <v>38</v>
      </c>
      <c r="E759" s="1">
        <v>7.6</v>
      </c>
      <c r="F759" s="1">
        <v>0.6</v>
      </c>
      <c r="G759" s="1">
        <v>3.46</v>
      </c>
      <c r="H759" s="1">
        <v>1.9</v>
      </c>
      <c r="I759" s="1" t="s">
        <v>36</v>
      </c>
      <c r="J759" s="1">
        <v>1</v>
      </c>
      <c r="K759" s="1">
        <v>1</v>
      </c>
      <c r="L759" s="1">
        <v>4</v>
      </c>
      <c r="M759" s="8">
        <v>0</v>
      </c>
    </row>
    <row r="760" spans="1:13" hidden="1" x14ac:dyDescent="0.25">
      <c r="A760" s="7">
        <v>15</v>
      </c>
      <c r="B760" s="1" t="s">
        <v>34</v>
      </c>
      <c r="C760" s="1">
        <v>3.7</v>
      </c>
      <c r="D760" s="1" t="s">
        <v>41</v>
      </c>
      <c r="E760" s="1">
        <v>5.7</v>
      </c>
      <c r="F760" s="1">
        <v>1.3</v>
      </c>
      <c r="G760" s="1">
        <v>3.24</v>
      </c>
      <c r="H760" s="1">
        <v>0.2</v>
      </c>
      <c r="I760" s="1" t="s">
        <v>36</v>
      </c>
      <c r="J760" s="1">
        <v>4</v>
      </c>
      <c r="K760" s="1">
        <v>9</v>
      </c>
      <c r="L760" s="1">
        <v>10</v>
      </c>
      <c r="M760" s="8">
        <v>0</v>
      </c>
    </row>
    <row r="761" spans="1:13" hidden="1" x14ac:dyDescent="0.25">
      <c r="A761" s="7">
        <v>18</v>
      </c>
      <c r="B761" s="1" t="s">
        <v>34</v>
      </c>
      <c r="C761" s="1">
        <v>3.6</v>
      </c>
      <c r="D761" s="1" t="s">
        <v>35</v>
      </c>
      <c r="E761" s="1">
        <v>4.7</v>
      </c>
      <c r="F761" s="1">
        <v>2.5</v>
      </c>
      <c r="G761" s="1">
        <v>2.73</v>
      </c>
      <c r="H761" s="1">
        <v>1.2</v>
      </c>
      <c r="I761" s="1" t="s">
        <v>40</v>
      </c>
      <c r="J761" s="1">
        <v>9</v>
      </c>
      <c r="K761" s="1">
        <v>7</v>
      </c>
      <c r="L761" s="1">
        <v>6</v>
      </c>
      <c r="M761" s="8">
        <v>0</v>
      </c>
    </row>
    <row r="762" spans="1:13" hidden="1" x14ac:dyDescent="0.25">
      <c r="A762" s="7">
        <v>15</v>
      </c>
      <c r="B762" s="1" t="s">
        <v>34</v>
      </c>
      <c r="C762" s="1">
        <v>6.4</v>
      </c>
      <c r="D762" s="1" t="s">
        <v>38</v>
      </c>
      <c r="E762" s="1">
        <v>6.9</v>
      </c>
      <c r="F762" s="1">
        <v>2.9</v>
      </c>
      <c r="G762" s="1">
        <v>2.48</v>
      </c>
      <c r="H762" s="1">
        <v>0.9</v>
      </c>
      <c r="I762" s="1" t="s">
        <v>36</v>
      </c>
      <c r="J762" s="1">
        <v>8</v>
      </c>
      <c r="K762" s="1">
        <v>4</v>
      </c>
      <c r="L762" s="1">
        <v>8</v>
      </c>
      <c r="M762" s="8">
        <v>0</v>
      </c>
    </row>
    <row r="763" spans="1:13" hidden="1" x14ac:dyDescent="0.25">
      <c r="A763" s="7">
        <v>13</v>
      </c>
      <c r="B763" s="1" t="s">
        <v>34</v>
      </c>
      <c r="C763" s="1">
        <v>6</v>
      </c>
      <c r="D763" s="1" t="s">
        <v>38</v>
      </c>
      <c r="E763" s="1">
        <v>4.8</v>
      </c>
      <c r="F763" s="1">
        <v>2.6</v>
      </c>
      <c r="G763" s="1">
        <v>2.74</v>
      </c>
      <c r="H763" s="1">
        <v>1.6</v>
      </c>
      <c r="I763" s="1" t="s">
        <v>39</v>
      </c>
      <c r="J763" s="1">
        <v>6</v>
      </c>
      <c r="K763" s="1">
        <v>10</v>
      </c>
      <c r="L763" s="1">
        <v>8</v>
      </c>
      <c r="M763" s="8">
        <v>0</v>
      </c>
    </row>
    <row r="764" spans="1:13" hidden="1" x14ac:dyDescent="0.25">
      <c r="A764" s="7">
        <v>14</v>
      </c>
      <c r="B764" s="1" t="s">
        <v>37</v>
      </c>
      <c r="C764" s="1">
        <v>1.3</v>
      </c>
      <c r="D764" s="1" t="s">
        <v>38</v>
      </c>
      <c r="E764" s="1">
        <v>7.7</v>
      </c>
      <c r="F764" s="1">
        <v>1.9</v>
      </c>
      <c r="G764" s="1">
        <v>2.27</v>
      </c>
      <c r="H764" s="1">
        <v>1.5</v>
      </c>
      <c r="I764" s="1" t="s">
        <v>36</v>
      </c>
      <c r="J764" s="1">
        <v>7</v>
      </c>
      <c r="K764" s="1">
        <v>2</v>
      </c>
      <c r="L764" s="1">
        <v>2</v>
      </c>
      <c r="M764" s="8">
        <v>0</v>
      </c>
    </row>
    <row r="765" spans="1:13" hidden="1" x14ac:dyDescent="0.25">
      <c r="A765" s="7">
        <v>18</v>
      </c>
      <c r="B765" s="1" t="s">
        <v>34</v>
      </c>
      <c r="C765" s="1">
        <v>3.7</v>
      </c>
      <c r="D765" s="1" t="s">
        <v>35</v>
      </c>
      <c r="E765" s="1">
        <v>7</v>
      </c>
      <c r="F765" s="1">
        <v>1.4</v>
      </c>
      <c r="G765" s="1">
        <v>2.0499999999999998</v>
      </c>
      <c r="H765" s="1">
        <v>0.4</v>
      </c>
      <c r="I765" s="1" t="s">
        <v>40</v>
      </c>
      <c r="J765" s="1">
        <v>10</v>
      </c>
      <c r="K765" s="1">
        <v>9</v>
      </c>
      <c r="L765" s="1">
        <v>5</v>
      </c>
      <c r="M765" s="8">
        <v>0</v>
      </c>
    </row>
    <row r="766" spans="1:13" hidden="1" x14ac:dyDescent="0.25">
      <c r="A766" s="7">
        <v>18</v>
      </c>
      <c r="B766" s="1" t="s">
        <v>37</v>
      </c>
      <c r="C766" s="1">
        <v>8</v>
      </c>
      <c r="D766" s="1" t="s">
        <v>38</v>
      </c>
      <c r="E766" s="1">
        <v>4.3</v>
      </c>
      <c r="F766" s="1">
        <v>0.8</v>
      </c>
      <c r="G766" s="1">
        <v>3.44</v>
      </c>
      <c r="H766" s="1">
        <v>0.8</v>
      </c>
      <c r="I766" s="1" t="s">
        <v>40</v>
      </c>
      <c r="J766" s="1">
        <v>3</v>
      </c>
      <c r="K766" s="1">
        <v>4</v>
      </c>
      <c r="L766" s="1">
        <v>4</v>
      </c>
      <c r="M766" s="8">
        <v>0</v>
      </c>
    </row>
    <row r="767" spans="1:13" hidden="1" x14ac:dyDescent="0.25">
      <c r="A767" s="7">
        <v>19</v>
      </c>
      <c r="B767" s="1" t="s">
        <v>37</v>
      </c>
      <c r="C767" s="1">
        <v>4.0999999999999996</v>
      </c>
      <c r="D767" s="1" t="s">
        <v>41</v>
      </c>
      <c r="E767" s="1">
        <v>7.5</v>
      </c>
      <c r="F767" s="1">
        <v>2.7</v>
      </c>
      <c r="G767" s="1">
        <v>2.66</v>
      </c>
      <c r="H767" s="1">
        <v>1.6</v>
      </c>
      <c r="I767" s="1" t="s">
        <v>39</v>
      </c>
      <c r="J767" s="1">
        <v>5</v>
      </c>
      <c r="K767" s="1">
        <v>10</v>
      </c>
      <c r="L767" s="1">
        <v>5</v>
      </c>
      <c r="M767" s="8">
        <v>0</v>
      </c>
    </row>
    <row r="768" spans="1:13" hidden="1" x14ac:dyDescent="0.25">
      <c r="A768" s="7">
        <v>13</v>
      </c>
      <c r="B768" s="1" t="s">
        <v>34</v>
      </c>
      <c r="C768" s="1">
        <v>3.9</v>
      </c>
      <c r="D768" s="1" t="s">
        <v>41</v>
      </c>
      <c r="E768" s="1">
        <v>8.6999999999999993</v>
      </c>
      <c r="F768" s="1">
        <v>1.5</v>
      </c>
      <c r="G768" s="1">
        <v>2.71</v>
      </c>
      <c r="H768" s="1">
        <v>0.7</v>
      </c>
      <c r="I768" s="1" t="s">
        <v>36</v>
      </c>
      <c r="J768" s="1">
        <v>7</v>
      </c>
      <c r="K768" s="1">
        <v>1</v>
      </c>
      <c r="L768" s="1">
        <v>4</v>
      </c>
      <c r="M768" s="8">
        <v>0</v>
      </c>
    </row>
    <row r="769" spans="1:13" x14ac:dyDescent="0.25">
      <c r="A769" s="7">
        <v>15</v>
      </c>
      <c r="B769" s="1" t="s">
        <v>37</v>
      </c>
      <c r="C769" s="1">
        <v>6.4</v>
      </c>
      <c r="D769" s="1" t="s">
        <v>35</v>
      </c>
      <c r="E769" s="1">
        <v>5.9</v>
      </c>
      <c r="F769" s="1">
        <v>1.6</v>
      </c>
      <c r="G769" s="1">
        <v>3.97</v>
      </c>
      <c r="H769" s="1">
        <v>1</v>
      </c>
      <c r="I769" s="1" t="s">
        <v>39</v>
      </c>
      <c r="J769" s="1">
        <v>10</v>
      </c>
      <c r="K769" s="1">
        <v>2</v>
      </c>
      <c r="L769" s="1">
        <v>6</v>
      </c>
      <c r="M769" s="8">
        <v>0</v>
      </c>
    </row>
    <row r="770" spans="1:13" hidden="1" x14ac:dyDescent="0.25">
      <c r="A770" s="7">
        <v>19</v>
      </c>
      <c r="B770" s="1" t="s">
        <v>37</v>
      </c>
      <c r="C770" s="1">
        <v>1.3</v>
      </c>
      <c r="D770" s="1" t="s">
        <v>38</v>
      </c>
      <c r="E770" s="1">
        <v>6.5</v>
      </c>
      <c r="F770" s="1">
        <v>2.1</v>
      </c>
      <c r="G770" s="1">
        <v>3.68</v>
      </c>
      <c r="H770" s="1">
        <v>1.1000000000000001</v>
      </c>
      <c r="I770" s="1" t="s">
        <v>39</v>
      </c>
      <c r="J770" s="1">
        <v>7</v>
      </c>
      <c r="K770" s="1">
        <v>1</v>
      </c>
      <c r="L770" s="1">
        <v>9</v>
      </c>
      <c r="M770" s="8">
        <v>0</v>
      </c>
    </row>
    <row r="771" spans="1:13" x14ac:dyDescent="0.25">
      <c r="A771" s="7">
        <v>18</v>
      </c>
      <c r="B771" s="1" t="s">
        <v>37</v>
      </c>
      <c r="C771" s="1">
        <v>5</v>
      </c>
      <c r="D771" s="1" t="s">
        <v>35</v>
      </c>
      <c r="E771" s="1">
        <v>6.6</v>
      </c>
      <c r="F771" s="1">
        <v>1.8</v>
      </c>
      <c r="G771" s="1">
        <v>3.87</v>
      </c>
      <c r="H771" s="1">
        <v>1.2</v>
      </c>
      <c r="I771" s="1" t="s">
        <v>39</v>
      </c>
      <c r="J771" s="1">
        <v>3</v>
      </c>
      <c r="K771" s="1">
        <v>4</v>
      </c>
      <c r="L771" s="1">
        <v>2</v>
      </c>
      <c r="M771" s="8">
        <v>0</v>
      </c>
    </row>
    <row r="772" spans="1:13" hidden="1" x14ac:dyDescent="0.25">
      <c r="A772" s="7">
        <v>18</v>
      </c>
      <c r="B772" s="1" t="s">
        <v>34</v>
      </c>
      <c r="C772" s="1">
        <v>5.5</v>
      </c>
      <c r="D772" s="1" t="s">
        <v>41</v>
      </c>
      <c r="E772" s="1">
        <v>5.2</v>
      </c>
      <c r="F772" s="1">
        <v>1.4</v>
      </c>
      <c r="G772" s="1">
        <v>3.24</v>
      </c>
      <c r="H772" s="1">
        <v>0.9</v>
      </c>
      <c r="I772" s="1" t="s">
        <v>40</v>
      </c>
      <c r="J772" s="1">
        <v>10</v>
      </c>
      <c r="K772" s="1">
        <v>5</v>
      </c>
      <c r="L772" s="1">
        <v>7</v>
      </c>
      <c r="M772" s="8">
        <v>0</v>
      </c>
    </row>
    <row r="773" spans="1:13" x14ac:dyDescent="0.25">
      <c r="A773" s="7">
        <v>13</v>
      </c>
      <c r="B773" s="1" t="s">
        <v>37</v>
      </c>
      <c r="C773" s="1">
        <v>7.6</v>
      </c>
      <c r="D773" s="1" t="s">
        <v>35</v>
      </c>
      <c r="E773" s="1">
        <v>7.9</v>
      </c>
      <c r="F773" s="1">
        <v>3</v>
      </c>
      <c r="G773" s="1">
        <v>2.54</v>
      </c>
      <c r="H773" s="1">
        <v>1.2</v>
      </c>
      <c r="I773" s="1" t="s">
        <v>39</v>
      </c>
      <c r="J773" s="1">
        <v>8</v>
      </c>
      <c r="K773" s="1">
        <v>8</v>
      </c>
      <c r="L773" s="1">
        <v>1</v>
      </c>
      <c r="M773" s="8">
        <v>0</v>
      </c>
    </row>
    <row r="774" spans="1:13" hidden="1" x14ac:dyDescent="0.25">
      <c r="A774" s="7">
        <v>19</v>
      </c>
      <c r="B774" s="1" t="s">
        <v>37</v>
      </c>
      <c r="C774" s="1">
        <v>6.3</v>
      </c>
      <c r="D774" s="1" t="s">
        <v>41</v>
      </c>
      <c r="E774" s="1">
        <v>5.7</v>
      </c>
      <c r="F774" s="1">
        <v>2.2999999999999998</v>
      </c>
      <c r="G774" s="1">
        <v>2.16</v>
      </c>
      <c r="H774" s="1">
        <v>1.9</v>
      </c>
      <c r="I774" s="1" t="s">
        <v>39</v>
      </c>
      <c r="J774" s="1">
        <v>6</v>
      </c>
      <c r="K774" s="1">
        <v>3</v>
      </c>
      <c r="L774" s="1">
        <v>6</v>
      </c>
      <c r="M774" s="8">
        <v>0</v>
      </c>
    </row>
    <row r="775" spans="1:13" x14ac:dyDescent="0.25">
      <c r="A775" s="7">
        <v>18</v>
      </c>
      <c r="B775" s="1" t="s">
        <v>37</v>
      </c>
      <c r="C775" s="1">
        <v>2</v>
      </c>
      <c r="D775" s="1" t="s">
        <v>35</v>
      </c>
      <c r="E775" s="1">
        <v>5.9</v>
      </c>
      <c r="F775" s="1">
        <v>2.9</v>
      </c>
      <c r="G775" s="1">
        <v>3.52</v>
      </c>
      <c r="H775" s="1">
        <v>1.1000000000000001</v>
      </c>
      <c r="I775" s="1" t="s">
        <v>39</v>
      </c>
      <c r="J775" s="1">
        <v>8</v>
      </c>
      <c r="K775" s="1">
        <v>6</v>
      </c>
      <c r="L775" s="1">
        <v>10</v>
      </c>
      <c r="M775" s="8">
        <v>0</v>
      </c>
    </row>
    <row r="776" spans="1:13" hidden="1" x14ac:dyDescent="0.25">
      <c r="A776" s="7">
        <v>15</v>
      </c>
      <c r="B776" s="1" t="s">
        <v>34</v>
      </c>
      <c r="C776" s="1">
        <v>4</v>
      </c>
      <c r="D776" s="1" t="s">
        <v>38</v>
      </c>
      <c r="E776" s="1">
        <v>4.5</v>
      </c>
      <c r="F776" s="1">
        <v>1.9</v>
      </c>
      <c r="G776" s="1">
        <v>3.22</v>
      </c>
      <c r="H776" s="1">
        <v>0.2</v>
      </c>
      <c r="I776" s="1" t="s">
        <v>40</v>
      </c>
      <c r="J776" s="1">
        <v>4</v>
      </c>
      <c r="K776" s="1">
        <v>5</v>
      </c>
      <c r="L776" s="1">
        <v>3</v>
      </c>
      <c r="M776" s="8">
        <v>0</v>
      </c>
    </row>
    <row r="777" spans="1:13" hidden="1" x14ac:dyDescent="0.25">
      <c r="A777" s="7">
        <v>14</v>
      </c>
      <c r="B777" s="1" t="s">
        <v>34</v>
      </c>
      <c r="C777" s="1">
        <v>4.9000000000000004</v>
      </c>
      <c r="D777" s="1" t="s">
        <v>35</v>
      </c>
      <c r="E777" s="1">
        <v>5.5</v>
      </c>
      <c r="F777" s="1">
        <v>1.6</v>
      </c>
      <c r="G777" s="1">
        <v>2.85</v>
      </c>
      <c r="H777" s="1">
        <v>0.4</v>
      </c>
      <c r="I777" s="1" t="s">
        <v>36</v>
      </c>
      <c r="J777" s="1">
        <v>8</v>
      </c>
      <c r="K777" s="1">
        <v>1</v>
      </c>
      <c r="L777" s="1">
        <v>8</v>
      </c>
      <c r="M777" s="8">
        <v>0</v>
      </c>
    </row>
    <row r="778" spans="1:13" hidden="1" x14ac:dyDescent="0.25">
      <c r="A778" s="7">
        <v>14</v>
      </c>
      <c r="B778" s="1" t="s">
        <v>37</v>
      </c>
      <c r="C778" s="1">
        <v>6.9</v>
      </c>
      <c r="D778" s="1" t="s">
        <v>38</v>
      </c>
      <c r="E778" s="1">
        <v>8</v>
      </c>
      <c r="F778" s="1">
        <v>1.6</v>
      </c>
      <c r="G778" s="1">
        <v>2.64</v>
      </c>
      <c r="H778" s="1">
        <v>0.1</v>
      </c>
      <c r="I778" s="1" t="s">
        <v>40</v>
      </c>
      <c r="J778" s="1">
        <v>3</v>
      </c>
      <c r="K778" s="1">
        <v>3</v>
      </c>
      <c r="L778" s="1">
        <v>3</v>
      </c>
      <c r="M778" s="8">
        <v>0</v>
      </c>
    </row>
    <row r="779" spans="1:13" hidden="1" x14ac:dyDescent="0.25">
      <c r="A779" s="7">
        <v>15</v>
      </c>
      <c r="B779" s="1" t="s">
        <v>34</v>
      </c>
      <c r="C779" s="1">
        <v>5.4</v>
      </c>
      <c r="D779" s="1" t="s">
        <v>38</v>
      </c>
      <c r="E779" s="1">
        <v>4.2</v>
      </c>
      <c r="F779" s="1">
        <v>1.8</v>
      </c>
      <c r="G779" s="1">
        <v>2.15</v>
      </c>
      <c r="H779" s="1">
        <v>0.3</v>
      </c>
      <c r="I779" s="1" t="s">
        <v>40</v>
      </c>
      <c r="J779" s="1">
        <v>1</v>
      </c>
      <c r="K779" s="1">
        <v>10</v>
      </c>
      <c r="L779" s="1">
        <v>5</v>
      </c>
      <c r="M779" s="8">
        <v>0</v>
      </c>
    </row>
    <row r="780" spans="1:13" hidden="1" x14ac:dyDescent="0.25">
      <c r="A780" s="7">
        <v>13</v>
      </c>
      <c r="B780" s="1" t="s">
        <v>37</v>
      </c>
      <c r="C780" s="1">
        <v>3.8</v>
      </c>
      <c r="D780" s="1" t="s">
        <v>41</v>
      </c>
      <c r="E780" s="1">
        <v>8.9</v>
      </c>
      <c r="F780" s="1">
        <v>2.5</v>
      </c>
      <c r="G780" s="1">
        <v>2.29</v>
      </c>
      <c r="H780" s="1">
        <v>0.6</v>
      </c>
      <c r="I780" s="1" t="s">
        <v>39</v>
      </c>
      <c r="J780" s="1">
        <v>9</v>
      </c>
      <c r="K780" s="1">
        <v>9</v>
      </c>
      <c r="L780" s="1">
        <v>7</v>
      </c>
      <c r="M780" s="8">
        <v>0</v>
      </c>
    </row>
    <row r="781" spans="1:13" hidden="1" x14ac:dyDescent="0.25">
      <c r="A781" s="7">
        <v>15</v>
      </c>
      <c r="B781" s="1" t="s">
        <v>34</v>
      </c>
      <c r="C781" s="1">
        <v>7.8</v>
      </c>
      <c r="D781" s="1" t="s">
        <v>41</v>
      </c>
      <c r="E781" s="1">
        <v>6.8</v>
      </c>
      <c r="F781" s="1">
        <v>0.6</v>
      </c>
      <c r="G781" s="1">
        <v>3.2</v>
      </c>
      <c r="H781" s="1">
        <v>1.7</v>
      </c>
      <c r="I781" s="1" t="s">
        <v>40</v>
      </c>
      <c r="J781" s="1">
        <v>1</v>
      </c>
      <c r="K781" s="1">
        <v>7</v>
      </c>
      <c r="L781" s="1">
        <v>5</v>
      </c>
      <c r="M781" s="8">
        <v>0</v>
      </c>
    </row>
    <row r="782" spans="1:13" hidden="1" x14ac:dyDescent="0.25">
      <c r="A782" s="7">
        <v>15</v>
      </c>
      <c r="B782" s="1" t="s">
        <v>34</v>
      </c>
      <c r="C782" s="1">
        <v>3.5</v>
      </c>
      <c r="D782" s="1" t="s">
        <v>41</v>
      </c>
      <c r="E782" s="1">
        <v>8.8000000000000007</v>
      </c>
      <c r="F782" s="1">
        <v>1.8</v>
      </c>
      <c r="G782" s="1">
        <v>3.5</v>
      </c>
      <c r="H782" s="1">
        <v>0.8</v>
      </c>
      <c r="I782" s="1" t="s">
        <v>36</v>
      </c>
      <c r="J782" s="1">
        <v>3</v>
      </c>
      <c r="K782" s="1">
        <v>6</v>
      </c>
      <c r="L782" s="1">
        <v>3</v>
      </c>
      <c r="M782" s="8">
        <v>0</v>
      </c>
    </row>
    <row r="783" spans="1:13" x14ac:dyDescent="0.25">
      <c r="A783" s="7">
        <v>19</v>
      </c>
      <c r="B783" s="1" t="s">
        <v>37</v>
      </c>
      <c r="C783" s="1">
        <v>5.4</v>
      </c>
      <c r="D783" s="1" t="s">
        <v>35</v>
      </c>
      <c r="E783" s="1">
        <v>7.3</v>
      </c>
      <c r="F783" s="1">
        <v>2</v>
      </c>
      <c r="G783" s="1">
        <v>3.98</v>
      </c>
      <c r="H783" s="1">
        <v>0.9</v>
      </c>
      <c r="I783" s="1" t="s">
        <v>40</v>
      </c>
      <c r="J783" s="1">
        <v>6</v>
      </c>
      <c r="K783" s="1">
        <v>6</v>
      </c>
      <c r="L783" s="1">
        <v>1</v>
      </c>
      <c r="M783" s="8">
        <v>0</v>
      </c>
    </row>
    <row r="784" spans="1:13" hidden="1" x14ac:dyDescent="0.25">
      <c r="A784" s="7">
        <v>17</v>
      </c>
      <c r="B784" s="1" t="s">
        <v>34</v>
      </c>
      <c r="C784" s="1">
        <v>3.8</v>
      </c>
      <c r="D784" s="1" t="s">
        <v>41</v>
      </c>
      <c r="E784" s="1">
        <v>5.7</v>
      </c>
      <c r="F784" s="1">
        <v>2</v>
      </c>
      <c r="G784" s="1">
        <v>3.01</v>
      </c>
      <c r="H784" s="1">
        <v>1</v>
      </c>
      <c r="I784" s="1" t="s">
        <v>36</v>
      </c>
      <c r="J784" s="1">
        <v>1</v>
      </c>
      <c r="K784" s="1">
        <v>3</v>
      </c>
      <c r="L784" s="1">
        <v>1</v>
      </c>
      <c r="M784" s="8">
        <v>0</v>
      </c>
    </row>
    <row r="785" spans="1:13" hidden="1" x14ac:dyDescent="0.25">
      <c r="A785" s="7">
        <v>17</v>
      </c>
      <c r="B785" s="1" t="s">
        <v>34</v>
      </c>
      <c r="C785" s="1">
        <v>8</v>
      </c>
      <c r="D785" s="1" t="s">
        <v>35</v>
      </c>
      <c r="E785" s="1">
        <v>6.9</v>
      </c>
      <c r="F785" s="1">
        <v>2.2000000000000002</v>
      </c>
      <c r="G785" s="1">
        <v>2.36</v>
      </c>
      <c r="H785" s="1">
        <v>1.6</v>
      </c>
      <c r="I785" s="1" t="s">
        <v>36</v>
      </c>
      <c r="J785" s="1">
        <v>4</v>
      </c>
      <c r="K785" s="1">
        <v>2</v>
      </c>
      <c r="L785" s="1">
        <v>8</v>
      </c>
      <c r="M785" s="8">
        <v>0</v>
      </c>
    </row>
    <row r="786" spans="1:13" hidden="1" x14ac:dyDescent="0.25">
      <c r="A786" s="7">
        <v>14</v>
      </c>
      <c r="B786" s="1" t="s">
        <v>37</v>
      </c>
      <c r="C786" s="1">
        <v>3.7</v>
      </c>
      <c r="D786" s="1" t="s">
        <v>38</v>
      </c>
      <c r="E786" s="1">
        <v>5.7</v>
      </c>
      <c r="F786" s="1">
        <v>1.7</v>
      </c>
      <c r="G786" s="1">
        <v>2.88</v>
      </c>
      <c r="H786" s="1">
        <v>0.2</v>
      </c>
      <c r="I786" s="1" t="s">
        <v>36</v>
      </c>
      <c r="J786" s="1">
        <v>9</v>
      </c>
      <c r="K786" s="1">
        <v>10</v>
      </c>
      <c r="L786" s="1">
        <v>3</v>
      </c>
      <c r="M786" s="8">
        <v>0</v>
      </c>
    </row>
    <row r="787" spans="1:13" x14ac:dyDescent="0.25">
      <c r="A787" s="7">
        <v>19</v>
      </c>
      <c r="B787" s="1" t="s">
        <v>37</v>
      </c>
      <c r="C787" s="1">
        <v>5</v>
      </c>
      <c r="D787" s="1" t="s">
        <v>35</v>
      </c>
      <c r="E787" s="1">
        <v>6.3</v>
      </c>
      <c r="F787" s="1">
        <v>2.9</v>
      </c>
      <c r="G787" s="1">
        <v>2.04</v>
      </c>
      <c r="H787" s="1">
        <v>0.5</v>
      </c>
      <c r="I787" s="1" t="s">
        <v>40</v>
      </c>
      <c r="J787" s="1">
        <v>5</v>
      </c>
      <c r="K787" s="1">
        <v>2</v>
      </c>
      <c r="L787" s="1">
        <v>2</v>
      </c>
      <c r="M787" s="8">
        <v>0</v>
      </c>
    </row>
    <row r="788" spans="1:13" x14ac:dyDescent="0.25">
      <c r="A788" s="7">
        <v>19</v>
      </c>
      <c r="B788" s="1" t="s">
        <v>37</v>
      </c>
      <c r="C788" s="1">
        <v>4.2</v>
      </c>
      <c r="D788" s="1" t="s">
        <v>35</v>
      </c>
      <c r="E788" s="1">
        <v>7.1</v>
      </c>
      <c r="F788" s="1">
        <v>2.5</v>
      </c>
      <c r="G788" s="1">
        <v>3.91</v>
      </c>
      <c r="H788" s="1">
        <v>1.5</v>
      </c>
      <c r="I788" s="1" t="s">
        <v>39</v>
      </c>
      <c r="J788" s="1">
        <v>6</v>
      </c>
      <c r="K788" s="1">
        <v>8</v>
      </c>
      <c r="L788" s="1">
        <v>9</v>
      </c>
      <c r="M788" s="8">
        <v>0</v>
      </c>
    </row>
    <row r="789" spans="1:13" hidden="1" x14ac:dyDescent="0.25">
      <c r="A789" s="7">
        <v>16</v>
      </c>
      <c r="B789" s="1" t="s">
        <v>34</v>
      </c>
      <c r="C789" s="1">
        <v>4.5999999999999996</v>
      </c>
      <c r="D789" s="1" t="s">
        <v>35</v>
      </c>
      <c r="E789" s="1">
        <v>8.1999999999999993</v>
      </c>
      <c r="F789" s="1">
        <v>1.5</v>
      </c>
      <c r="G789" s="1">
        <v>2.13</v>
      </c>
      <c r="H789" s="1">
        <v>1</v>
      </c>
      <c r="I789" s="1" t="s">
        <v>36</v>
      </c>
      <c r="J789" s="1">
        <v>3</v>
      </c>
      <c r="K789" s="1">
        <v>2</v>
      </c>
      <c r="L789" s="1">
        <v>2</v>
      </c>
      <c r="M789" s="8">
        <v>0</v>
      </c>
    </row>
    <row r="790" spans="1:13" hidden="1" x14ac:dyDescent="0.25">
      <c r="A790" s="7">
        <v>18</v>
      </c>
      <c r="B790" s="1" t="s">
        <v>34</v>
      </c>
      <c r="C790" s="1">
        <v>5.5</v>
      </c>
      <c r="D790" s="1" t="s">
        <v>35</v>
      </c>
      <c r="E790" s="1">
        <v>5</v>
      </c>
      <c r="F790" s="1">
        <v>0.9</v>
      </c>
      <c r="G790" s="1">
        <v>2.93</v>
      </c>
      <c r="H790" s="1">
        <v>1.1000000000000001</v>
      </c>
      <c r="I790" s="1" t="s">
        <v>36</v>
      </c>
      <c r="J790" s="1">
        <v>4</v>
      </c>
      <c r="K790" s="1">
        <v>10</v>
      </c>
      <c r="L790" s="1">
        <v>10</v>
      </c>
      <c r="M790" s="8">
        <v>0</v>
      </c>
    </row>
    <row r="791" spans="1:13" x14ac:dyDescent="0.25">
      <c r="A791" s="7">
        <v>19</v>
      </c>
      <c r="B791" s="1" t="s">
        <v>37</v>
      </c>
      <c r="C791" s="1">
        <v>1.8</v>
      </c>
      <c r="D791" s="1" t="s">
        <v>35</v>
      </c>
      <c r="E791" s="1">
        <v>4.5</v>
      </c>
      <c r="F791" s="1">
        <v>2.8</v>
      </c>
      <c r="G791" s="1">
        <v>3.22</v>
      </c>
      <c r="H791" s="1">
        <v>1.6</v>
      </c>
      <c r="I791" s="1" t="s">
        <v>40</v>
      </c>
      <c r="J791" s="1">
        <v>5</v>
      </c>
      <c r="K791" s="1">
        <v>3</v>
      </c>
      <c r="L791" s="1">
        <v>10</v>
      </c>
      <c r="M791" s="8">
        <v>0</v>
      </c>
    </row>
    <row r="792" spans="1:13" hidden="1" x14ac:dyDescent="0.25">
      <c r="A792" s="7">
        <v>14</v>
      </c>
      <c r="B792" s="1" t="s">
        <v>37</v>
      </c>
      <c r="C792" s="1">
        <v>6.6</v>
      </c>
      <c r="D792" s="1" t="s">
        <v>38</v>
      </c>
      <c r="E792" s="1">
        <v>6.2</v>
      </c>
      <c r="F792" s="1">
        <v>1.8</v>
      </c>
      <c r="G792" s="1">
        <v>2.36</v>
      </c>
      <c r="H792" s="1">
        <v>1.7</v>
      </c>
      <c r="I792" s="1" t="s">
        <v>39</v>
      </c>
      <c r="J792" s="1">
        <v>4</v>
      </c>
      <c r="K792" s="1">
        <v>1</v>
      </c>
      <c r="L792" s="1">
        <v>8</v>
      </c>
      <c r="M792" s="8">
        <v>0</v>
      </c>
    </row>
    <row r="793" spans="1:13" hidden="1" x14ac:dyDescent="0.25">
      <c r="A793" s="7">
        <v>15</v>
      </c>
      <c r="B793" s="1" t="s">
        <v>37</v>
      </c>
      <c r="C793" s="1">
        <v>4.4000000000000004</v>
      </c>
      <c r="D793" s="1" t="s">
        <v>38</v>
      </c>
      <c r="E793" s="1">
        <v>5.3</v>
      </c>
      <c r="F793" s="1">
        <v>0.9</v>
      </c>
      <c r="G793" s="1">
        <v>3.75</v>
      </c>
      <c r="H793" s="1">
        <v>0.5</v>
      </c>
      <c r="I793" s="1" t="s">
        <v>39</v>
      </c>
      <c r="J793" s="1">
        <v>10</v>
      </c>
      <c r="K793" s="1">
        <v>5</v>
      </c>
      <c r="L793" s="1">
        <v>5</v>
      </c>
      <c r="M793" s="8">
        <v>0</v>
      </c>
    </row>
    <row r="794" spans="1:13" hidden="1" x14ac:dyDescent="0.25">
      <c r="A794" s="7">
        <v>14</v>
      </c>
      <c r="B794" s="1" t="s">
        <v>37</v>
      </c>
      <c r="C794" s="1">
        <v>4.7</v>
      </c>
      <c r="D794" s="1" t="s">
        <v>38</v>
      </c>
      <c r="E794" s="1">
        <v>4.4000000000000004</v>
      </c>
      <c r="F794" s="1">
        <v>2.1</v>
      </c>
      <c r="G794" s="1">
        <v>3.92</v>
      </c>
      <c r="H794" s="1">
        <v>0.9</v>
      </c>
      <c r="I794" s="1" t="s">
        <v>36</v>
      </c>
      <c r="J794" s="1">
        <v>10</v>
      </c>
      <c r="K794" s="1">
        <v>1</v>
      </c>
      <c r="L794" s="1">
        <v>4</v>
      </c>
      <c r="M794" s="8">
        <v>0</v>
      </c>
    </row>
    <row r="795" spans="1:13" x14ac:dyDescent="0.25">
      <c r="A795" s="7">
        <v>18</v>
      </c>
      <c r="B795" s="1" t="s">
        <v>37</v>
      </c>
      <c r="C795" s="1">
        <v>7.1</v>
      </c>
      <c r="D795" s="1" t="s">
        <v>35</v>
      </c>
      <c r="E795" s="1">
        <v>5.7</v>
      </c>
      <c r="F795" s="1">
        <v>0.6</v>
      </c>
      <c r="G795" s="1">
        <v>2.9</v>
      </c>
      <c r="H795" s="1">
        <v>1.7</v>
      </c>
      <c r="I795" s="1" t="s">
        <v>40</v>
      </c>
      <c r="J795" s="1">
        <v>3</v>
      </c>
      <c r="K795" s="1">
        <v>1</v>
      </c>
      <c r="L795" s="1">
        <v>6</v>
      </c>
      <c r="M795" s="8">
        <v>0</v>
      </c>
    </row>
    <row r="796" spans="1:13" hidden="1" x14ac:dyDescent="0.25">
      <c r="A796" s="7">
        <v>17</v>
      </c>
      <c r="B796" s="1" t="s">
        <v>34</v>
      </c>
      <c r="C796" s="1">
        <v>4</v>
      </c>
      <c r="D796" s="1" t="s">
        <v>41</v>
      </c>
      <c r="E796" s="1">
        <v>8.5</v>
      </c>
      <c r="F796" s="1">
        <v>1</v>
      </c>
      <c r="G796" s="1">
        <v>2.16</v>
      </c>
      <c r="H796" s="1">
        <v>0.1</v>
      </c>
      <c r="I796" s="1" t="s">
        <v>36</v>
      </c>
      <c r="J796" s="1">
        <v>1</v>
      </c>
      <c r="K796" s="1">
        <v>7</v>
      </c>
      <c r="L796" s="1">
        <v>5</v>
      </c>
      <c r="M796" s="8">
        <v>0</v>
      </c>
    </row>
    <row r="797" spans="1:13" x14ac:dyDescent="0.25">
      <c r="A797" s="7">
        <v>18</v>
      </c>
      <c r="B797" s="1" t="s">
        <v>37</v>
      </c>
      <c r="C797" s="1">
        <v>5.5</v>
      </c>
      <c r="D797" s="1" t="s">
        <v>35</v>
      </c>
      <c r="E797" s="1">
        <v>5.3</v>
      </c>
      <c r="F797" s="1">
        <v>2.6</v>
      </c>
      <c r="G797" s="1">
        <v>3.09</v>
      </c>
      <c r="H797" s="1">
        <v>2</v>
      </c>
      <c r="I797" s="1" t="s">
        <v>36</v>
      </c>
      <c r="J797" s="1">
        <v>8</v>
      </c>
      <c r="K797" s="1">
        <v>6</v>
      </c>
      <c r="L797" s="1">
        <v>3</v>
      </c>
      <c r="M797" s="8">
        <v>0</v>
      </c>
    </row>
    <row r="798" spans="1:13" hidden="1" x14ac:dyDescent="0.25">
      <c r="A798" s="7">
        <v>19</v>
      </c>
      <c r="B798" s="1" t="s">
        <v>34</v>
      </c>
      <c r="C798" s="1">
        <v>5.6</v>
      </c>
      <c r="D798" s="1" t="s">
        <v>38</v>
      </c>
      <c r="E798" s="1">
        <v>6.5</v>
      </c>
      <c r="F798" s="1">
        <v>1.4</v>
      </c>
      <c r="G798" s="1">
        <v>3.19</v>
      </c>
      <c r="H798" s="1">
        <v>0</v>
      </c>
      <c r="I798" s="1" t="s">
        <v>39</v>
      </c>
      <c r="J798" s="1">
        <v>9</v>
      </c>
      <c r="K798" s="1">
        <v>9</v>
      </c>
      <c r="L798" s="1">
        <v>7</v>
      </c>
      <c r="M798" s="8">
        <v>0</v>
      </c>
    </row>
    <row r="799" spans="1:13" hidden="1" x14ac:dyDescent="0.25">
      <c r="A799" s="7">
        <v>14</v>
      </c>
      <c r="B799" s="1" t="s">
        <v>37</v>
      </c>
      <c r="C799" s="1">
        <v>3.7</v>
      </c>
      <c r="D799" s="1" t="s">
        <v>41</v>
      </c>
      <c r="E799" s="1">
        <v>7.1</v>
      </c>
      <c r="F799" s="1">
        <v>1.7</v>
      </c>
      <c r="G799" s="1">
        <v>2.5</v>
      </c>
      <c r="H799" s="1">
        <v>1.8</v>
      </c>
      <c r="I799" s="1" t="s">
        <v>40</v>
      </c>
      <c r="J799" s="1">
        <v>10</v>
      </c>
      <c r="K799" s="1">
        <v>4</v>
      </c>
      <c r="L799" s="1">
        <v>5</v>
      </c>
      <c r="M799" s="8">
        <v>0</v>
      </c>
    </row>
    <row r="800" spans="1:13" hidden="1" x14ac:dyDescent="0.25">
      <c r="A800" s="7">
        <v>16</v>
      </c>
      <c r="B800" s="1" t="s">
        <v>34</v>
      </c>
      <c r="C800" s="1">
        <v>1.8</v>
      </c>
      <c r="D800" s="1" t="s">
        <v>38</v>
      </c>
      <c r="E800" s="1">
        <v>7.4</v>
      </c>
      <c r="F800" s="1">
        <v>2.2999999999999998</v>
      </c>
      <c r="G800" s="1">
        <v>3.76</v>
      </c>
      <c r="H800" s="1">
        <v>0.8</v>
      </c>
      <c r="I800" s="1" t="s">
        <v>36</v>
      </c>
      <c r="J800" s="1">
        <v>9</v>
      </c>
      <c r="K800" s="1">
        <v>5</v>
      </c>
      <c r="L800" s="1">
        <v>8</v>
      </c>
      <c r="M800" s="8">
        <v>0</v>
      </c>
    </row>
    <row r="801" spans="1:13" hidden="1" x14ac:dyDescent="0.25">
      <c r="A801" s="7">
        <v>16</v>
      </c>
      <c r="B801" s="1" t="s">
        <v>37</v>
      </c>
      <c r="C801" s="1">
        <v>7.6</v>
      </c>
      <c r="D801" s="1" t="s">
        <v>38</v>
      </c>
      <c r="E801" s="1">
        <v>4.2</v>
      </c>
      <c r="F801" s="1">
        <v>2.8</v>
      </c>
      <c r="G801" s="1">
        <v>3.87</v>
      </c>
      <c r="H801" s="1">
        <v>0.7</v>
      </c>
      <c r="I801" s="1" t="s">
        <v>39</v>
      </c>
      <c r="J801" s="1">
        <v>10</v>
      </c>
      <c r="K801" s="1">
        <v>2</v>
      </c>
      <c r="L801" s="1">
        <v>9</v>
      </c>
      <c r="M801" s="8">
        <v>0</v>
      </c>
    </row>
    <row r="802" spans="1:13" hidden="1" x14ac:dyDescent="0.25">
      <c r="A802" s="7">
        <v>18</v>
      </c>
      <c r="B802" s="1" t="s">
        <v>34</v>
      </c>
      <c r="C802" s="1">
        <v>5.7</v>
      </c>
      <c r="D802" s="1" t="s">
        <v>38</v>
      </c>
      <c r="E802" s="1">
        <v>8</v>
      </c>
      <c r="F802" s="1">
        <v>2.5</v>
      </c>
      <c r="G802" s="1">
        <v>3.4</v>
      </c>
      <c r="H802" s="1">
        <v>0.1</v>
      </c>
      <c r="I802" s="1" t="s">
        <v>36</v>
      </c>
      <c r="J802" s="1">
        <v>5</v>
      </c>
      <c r="K802" s="1">
        <v>2</v>
      </c>
      <c r="L802" s="1">
        <v>1</v>
      </c>
      <c r="M802" s="8">
        <v>0</v>
      </c>
    </row>
    <row r="803" spans="1:13" x14ac:dyDescent="0.25">
      <c r="A803" s="7">
        <v>14</v>
      </c>
      <c r="B803" s="1" t="s">
        <v>37</v>
      </c>
      <c r="C803" s="1">
        <v>6.1</v>
      </c>
      <c r="D803" s="1" t="s">
        <v>35</v>
      </c>
      <c r="E803" s="1">
        <v>7</v>
      </c>
      <c r="F803" s="1">
        <v>2.7</v>
      </c>
      <c r="G803" s="1">
        <v>3.97</v>
      </c>
      <c r="H803" s="1">
        <v>1</v>
      </c>
      <c r="I803" s="1" t="s">
        <v>40</v>
      </c>
      <c r="J803" s="1">
        <v>1</v>
      </c>
      <c r="K803" s="1">
        <v>8</v>
      </c>
      <c r="L803" s="1">
        <v>8</v>
      </c>
      <c r="M803" s="8">
        <v>0</v>
      </c>
    </row>
    <row r="804" spans="1:13" x14ac:dyDescent="0.25">
      <c r="A804" s="7">
        <v>13</v>
      </c>
      <c r="B804" s="1" t="s">
        <v>37</v>
      </c>
      <c r="C804" s="1">
        <v>6</v>
      </c>
      <c r="D804" s="1" t="s">
        <v>35</v>
      </c>
      <c r="E804" s="1">
        <v>7.2</v>
      </c>
      <c r="F804" s="1">
        <v>0.6</v>
      </c>
      <c r="G804" s="1">
        <v>2.11</v>
      </c>
      <c r="H804" s="1">
        <v>1.1000000000000001</v>
      </c>
      <c r="I804" s="1" t="s">
        <v>36</v>
      </c>
      <c r="J804" s="1">
        <v>1</v>
      </c>
      <c r="K804" s="1">
        <v>3</v>
      </c>
      <c r="L804" s="1">
        <v>6</v>
      </c>
      <c r="M804" s="8">
        <v>0</v>
      </c>
    </row>
    <row r="805" spans="1:13" hidden="1" x14ac:dyDescent="0.25">
      <c r="A805" s="7">
        <v>15</v>
      </c>
      <c r="B805" s="1" t="s">
        <v>37</v>
      </c>
      <c r="C805" s="1">
        <v>3.1</v>
      </c>
      <c r="D805" s="1" t="s">
        <v>38</v>
      </c>
      <c r="E805" s="1">
        <v>4.2</v>
      </c>
      <c r="F805" s="1">
        <v>2.4</v>
      </c>
      <c r="G805" s="1">
        <v>3.41</v>
      </c>
      <c r="H805" s="1">
        <v>0.2</v>
      </c>
      <c r="I805" s="1" t="s">
        <v>36</v>
      </c>
      <c r="J805" s="1">
        <v>3</v>
      </c>
      <c r="K805" s="1">
        <v>7</v>
      </c>
      <c r="L805" s="1">
        <v>5</v>
      </c>
      <c r="M805" s="8">
        <v>0</v>
      </c>
    </row>
    <row r="806" spans="1:13" hidden="1" x14ac:dyDescent="0.25">
      <c r="A806" s="7">
        <v>17</v>
      </c>
      <c r="B806" s="1" t="s">
        <v>34</v>
      </c>
      <c r="C806" s="1">
        <v>7.6</v>
      </c>
      <c r="D806" s="1" t="s">
        <v>35</v>
      </c>
      <c r="E806" s="1">
        <v>6</v>
      </c>
      <c r="F806" s="1">
        <v>2</v>
      </c>
      <c r="G806" s="1">
        <v>3.82</v>
      </c>
      <c r="H806" s="1">
        <v>1.5</v>
      </c>
      <c r="I806" s="1" t="s">
        <v>36</v>
      </c>
      <c r="J806" s="1">
        <v>8</v>
      </c>
      <c r="K806" s="1">
        <v>9</v>
      </c>
      <c r="L806" s="1">
        <v>7</v>
      </c>
      <c r="M806" s="8">
        <v>0</v>
      </c>
    </row>
    <row r="807" spans="1:13" hidden="1" x14ac:dyDescent="0.25">
      <c r="A807" s="7">
        <v>17</v>
      </c>
      <c r="B807" s="1" t="s">
        <v>34</v>
      </c>
      <c r="C807" s="1">
        <v>6</v>
      </c>
      <c r="D807" s="1" t="s">
        <v>41</v>
      </c>
      <c r="E807" s="1">
        <v>5.3</v>
      </c>
      <c r="F807" s="1">
        <v>2.7</v>
      </c>
      <c r="G807" s="1">
        <v>3.2</v>
      </c>
      <c r="H807" s="1">
        <v>1.4</v>
      </c>
      <c r="I807" s="1" t="s">
        <v>40</v>
      </c>
      <c r="J807" s="1">
        <v>8</v>
      </c>
      <c r="K807" s="1">
        <v>2</v>
      </c>
      <c r="L807" s="1">
        <v>4</v>
      </c>
      <c r="M807" s="8">
        <v>0</v>
      </c>
    </row>
    <row r="808" spans="1:13" x14ac:dyDescent="0.25">
      <c r="A808" s="7">
        <v>13</v>
      </c>
      <c r="B808" s="1" t="s">
        <v>37</v>
      </c>
      <c r="C808" s="1">
        <v>3.5</v>
      </c>
      <c r="D808" s="1" t="s">
        <v>35</v>
      </c>
      <c r="E808" s="1">
        <v>5.3</v>
      </c>
      <c r="F808" s="1">
        <v>2.7</v>
      </c>
      <c r="G808" s="1">
        <v>3.7</v>
      </c>
      <c r="H808" s="1">
        <v>0.5</v>
      </c>
      <c r="I808" s="1" t="s">
        <v>36</v>
      </c>
      <c r="J808" s="1">
        <v>3</v>
      </c>
      <c r="K808" s="1">
        <v>7</v>
      </c>
      <c r="L808" s="1">
        <v>2</v>
      </c>
      <c r="M808" s="8">
        <v>0</v>
      </c>
    </row>
    <row r="809" spans="1:13" hidden="1" x14ac:dyDescent="0.25">
      <c r="A809" s="7">
        <v>14</v>
      </c>
      <c r="B809" s="1" t="s">
        <v>37</v>
      </c>
      <c r="C809" s="1">
        <v>1.3</v>
      </c>
      <c r="D809" s="1" t="s">
        <v>38</v>
      </c>
      <c r="E809" s="1">
        <v>7.5</v>
      </c>
      <c r="F809" s="1">
        <v>1.4</v>
      </c>
      <c r="G809" s="1">
        <v>3.85</v>
      </c>
      <c r="H809" s="1">
        <v>1.6</v>
      </c>
      <c r="I809" s="1" t="s">
        <v>40</v>
      </c>
      <c r="J809" s="1">
        <v>10</v>
      </c>
      <c r="K809" s="1">
        <v>8</v>
      </c>
      <c r="L809" s="1">
        <v>7</v>
      </c>
      <c r="M809" s="8">
        <v>0</v>
      </c>
    </row>
    <row r="810" spans="1:13" hidden="1" x14ac:dyDescent="0.25">
      <c r="A810" s="7">
        <v>18</v>
      </c>
      <c r="B810" s="1" t="s">
        <v>37</v>
      </c>
      <c r="C810" s="1">
        <v>2.8</v>
      </c>
      <c r="D810" s="1" t="s">
        <v>38</v>
      </c>
      <c r="E810" s="1">
        <v>7</v>
      </c>
      <c r="F810" s="1">
        <v>2.9</v>
      </c>
      <c r="G810" s="1">
        <v>3.91</v>
      </c>
      <c r="H810" s="1">
        <v>1.1000000000000001</v>
      </c>
      <c r="I810" s="1" t="s">
        <v>40</v>
      </c>
      <c r="J810" s="1">
        <v>9</v>
      </c>
      <c r="K810" s="1">
        <v>9</v>
      </c>
      <c r="L810" s="1">
        <v>1</v>
      </c>
      <c r="M810" s="8">
        <v>0</v>
      </c>
    </row>
    <row r="811" spans="1:13" hidden="1" x14ac:dyDescent="0.25">
      <c r="A811" s="7">
        <v>14</v>
      </c>
      <c r="B811" s="1" t="s">
        <v>34</v>
      </c>
      <c r="C811" s="1">
        <v>3.9</v>
      </c>
      <c r="D811" s="1" t="s">
        <v>41</v>
      </c>
      <c r="E811" s="1">
        <v>4.8</v>
      </c>
      <c r="F811" s="1">
        <v>0.8</v>
      </c>
      <c r="G811" s="1">
        <v>3.32</v>
      </c>
      <c r="H811" s="1">
        <v>0.3</v>
      </c>
      <c r="I811" s="1" t="s">
        <v>39</v>
      </c>
      <c r="J811" s="1">
        <v>5</v>
      </c>
      <c r="K811" s="1">
        <v>2</v>
      </c>
      <c r="L811" s="1">
        <v>5</v>
      </c>
      <c r="M811" s="8">
        <v>0</v>
      </c>
    </row>
    <row r="812" spans="1:13" hidden="1" x14ac:dyDescent="0.25">
      <c r="A812" s="7">
        <v>19</v>
      </c>
      <c r="B812" s="1" t="s">
        <v>34</v>
      </c>
      <c r="C812" s="1">
        <v>3.9</v>
      </c>
      <c r="D812" s="1" t="s">
        <v>41</v>
      </c>
      <c r="E812" s="1">
        <v>4.8</v>
      </c>
      <c r="F812" s="1">
        <v>2.8</v>
      </c>
      <c r="G812" s="1">
        <v>3.98</v>
      </c>
      <c r="H812" s="1">
        <v>1.9</v>
      </c>
      <c r="I812" s="1" t="s">
        <v>40</v>
      </c>
      <c r="J812" s="1">
        <v>7</v>
      </c>
      <c r="K812" s="1">
        <v>5</v>
      </c>
      <c r="L812" s="1">
        <v>3</v>
      </c>
      <c r="M812" s="8">
        <v>0</v>
      </c>
    </row>
    <row r="813" spans="1:13" hidden="1" x14ac:dyDescent="0.25">
      <c r="A813" s="7">
        <v>14</v>
      </c>
      <c r="B813" s="1" t="s">
        <v>34</v>
      </c>
      <c r="C813" s="1">
        <v>7.4</v>
      </c>
      <c r="D813" s="1" t="s">
        <v>35</v>
      </c>
      <c r="E813" s="1">
        <v>8.9</v>
      </c>
      <c r="F813" s="1">
        <v>2.4</v>
      </c>
      <c r="G813" s="1">
        <v>2.29</v>
      </c>
      <c r="H813" s="1">
        <v>1.1000000000000001</v>
      </c>
      <c r="I813" s="1" t="s">
        <v>36</v>
      </c>
      <c r="J813" s="1">
        <v>10</v>
      </c>
      <c r="K813" s="1">
        <v>4</v>
      </c>
      <c r="L813" s="1">
        <v>8</v>
      </c>
      <c r="M813" s="8">
        <v>0</v>
      </c>
    </row>
    <row r="814" spans="1:13" hidden="1" x14ac:dyDescent="0.25">
      <c r="A814" s="7">
        <v>19</v>
      </c>
      <c r="B814" s="1" t="s">
        <v>37</v>
      </c>
      <c r="C814" s="1">
        <v>5.4</v>
      </c>
      <c r="D814" s="1" t="s">
        <v>38</v>
      </c>
      <c r="E814" s="1">
        <v>7.4</v>
      </c>
      <c r="F814" s="1">
        <v>1.7</v>
      </c>
      <c r="G814" s="1">
        <v>2.88</v>
      </c>
      <c r="H814" s="1">
        <v>0.6</v>
      </c>
      <c r="I814" s="1" t="s">
        <v>36</v>
      </c>
      <c r="J814" s="1">
        <v>6</v>
      </c>
      <c r="K814" s="1">
        <v>10</v>
      </c>
      <c r="L814" s="1">
        <v>9</v>
      </c>
      <c r="M814" s="8">
        <v>0</v>
      </c>
    </row>
    <row r="815" spans="1:13" hidden="1" x14ac:dyDescent="0.25">
      <c r="A815" s="7">
        <v>19</v>
      </c>
      <c r="B815" s="1" t="s">
        <v>37</v>
      </c>
      <c r="C815" s="1">
        <v>6.6</v>
      </c>
      <c r="D815" s="1" t="s">
        <v>41</v>
      </c>
      <c r="E815" s="1">
        <v>6.8</v>
      </c>
      <c r="F815" s="1">
        <v>0.8</v>
      </c>
      <c r="G815" s="1">
        <v>2.64</v>
      </c>
      <c r="H815" s="1">
        <v>1.5</v>
      </c>
      <c r="I815" s="1" t="s">
        <v>36</v>
      </c>
      <c r="J815" s="1">
        <v>5</v>
      </c>
      <c r="K815" s="1">
        <v>4</v>
      </c>
      <c r="L815" s="1">
        <v>6</v>
      </c>
      <c r="M815" s="8">
        <v>0</v>
      </c>
    </row>
    <row r="816" spans="1:13" hidden="1" x14ac:dyDescent="0.25">
      <c r="A816" s="7">
        <v>17</v>
      </c>
      <c r="B816" s="1" t="s">
        <v>34</v>
      </c>
      <c r="C816" s="1">
        <v>5.9</v>
      </c>
      <c r="D816" s="1" t="s">
        <v>35</v>
      </c>
      <c r="E816" s="1">
        <v>7.4</v>
      </c>
      <c r="F816" s="1">
        <v>1.7</v>
      </c>
      <c r="G816" s="1">
        <v>2.5</v>
      </c>
      <c r="H816" s="1">
        <v>0.7</v>
      </c>
      <c r="I816" s="1" t="s">
        <v>39</v>
      </c>
      <c r="J816" s="1">
        <v>6</v>
      </c>
      <c r="K816" s="1">
        <v>7</v>
      </c>
      <c r="L816" s="1">
        <v>1</v>
      </c>
      <c r="M816" s="8">
        <v>0</v>
      </c>
    </row>
    <row r="817" spans="1:13" hidden="1" x14ac:dyDescent="0.25">
      <c r="A817" s="7">
        <v>17</v>
      </c>
      <c r="B817" s="1" t="s">
        <v>34</v>
      </c>
      <c r="C817" s="1">
        <v>3.3</v>
      </c>
      <c r="D817" s="1" t="s">
        <v>41</v>
      </c>
      <c r="E817" s="1">
        <v>5.2</v>
      </c>
      <c r="F817" s="1">
        <v>1.8</v>
      </c>
      <c r="G817" s="1">
        <v>2.1</v>
      </c>
      <c r="H817" s="1">
        <v>1.2</v>
      </c>
      <c r="I817" s="1" t="s">
        <v>36</v>
      </c>
      <c r="J817" s="1">
        <v>2</v>
      </c>
      <c r="K817" s="1">
        <v>3</v>
      </c>
      <c r="L817" s="1">
        <v>9</v>
      </c>
      <c r="M817" s="8">
        <v>0</v>
      </c>
    </row>
    <row r="818" spans="1:13" x14ac:dyDescent="0.25">
      <c r="A818" s="7">
        <v>15</v>
      </c>
      <c r="B818" s="1" t="s">
        <v>37</v>
      </c>
      <c r="C818" s="1">
        <v>2.8</v>
      </c>
      <c r="D818" s="1" t="s">
        <v>35</v>
      </c>
      <c r="E818" s="1">
        <v>7.7</v>
      </c>
      <c r="F818" s="1">
        <v>1</v>
      </c>
      <c r="G818" s="1">
        <v>3.73</v>
      </c>
      <c r="H818" s="1">
        <v>0.5</v>
      </c>
      <c r="I818" s="1" t="s">
        <v>40</v>
      </c>
      <c r="J818" s="1">
        <v>6</v>
      </c>
      <c r="K818" s="1">
        <v>10</v>
      </c>
      <c r="L818" s="1">
        <v>1</v>
      </c>
      <c r="M818" s="8">
        <v>0</v>
      </c>
    </row>
    <row r="819" spans="1:13" hidden="1" x14ac:dyDescent="0.25">
      <c r="A819" s="7">
        <v>14</v>
      </c>
      <c r="B819" s="1" t="s">
        <v>37</v>
      </c>
      <c r="C819" s="1">
        <v>7.3</v>
      </c>
      <c r="D819" s="1" t="s">
        <v>38</v>
      </c>
      <c r="E819" s="1">
        <v>8.8000000000000007</v>
      </c>
      <c r="F819" s="1">
        <v>2.5</v>
      </c>
      <c r="G819" s="1">
        <v>2.12</v>
      </c>
      <c r="H819" s="1">
        <v>0.5</v>
      </c>
      <c r="I819" s="1" t="s">
        <v>39</v>
      </c>
      <c r="J819" s="1">
        <v>10</v>
      </c>
      <c r="K819" s="1">
        <v>10</v>
      </c>
      <c r="L819" s="1">
        <v>1</v>
      </c>
      <c r="M819" s="8">
        <v>0</v>
      </c>
    </row>
    <row r="820" spans="1:13" hidden="1" x14ac:dyDescent="0.25">
      <c r="A820" s="7">
        <v>18</v>
      </c>
      <c r="B820" s="1" t="s">
        <v>34</v>
      </c>
      <c r="C820" s="1">
        <v>2.8</v>
      </c>
      <c r="D820" s="1" t="s">
        <v>35</v>
      </c>
      <c r="E820" s="1">
        <v>6.9</v>
      </c>
      <c r="F820" s="1">
        <v>2.2999999999999998</v>
      </c>
      <c r="G820" s="1">
        <v>3.11</v>
      </c>
      <c r="H820" s="1">
        <v>0.1</v>
      </c>
      <c r="I820" s="1" t="s">
        <v>40</v>
      </c>
      <c r="J820" s="1">
        <v>7</v>
      </c>
      <c r="K820" s="1">
        <v>1</v>
      </c>
      <c r="L820" s="1">
        <v>9</v>
      </c>
      <c r="M820" s="8">
        <v>0</v>
      </c>
    </row>
    <row r="821" spans="1:13" hidden="1" x14ac:dyDescent="0.25">
      <c r="A821" s="7">
        <v>18</v>
      </c>
      <c r="B821" s="1" t="s">
        <v>37</v>
      </c>
      <c r="C821" s="1">
        <v>7.2</v>
      </c>
      <c r="D821" s="1" t="s">
        <v>38</v>
      </c>
      <c r="E821" s="1">
        <v>7.7</v>
      </c>
      <c r="F821" s="1">
        <v>1.2</v>
      </c>
      <c r="G821" s="1">
        <v>3.7</v>
      </c>
      <c r="H821" s="1">
        <v>0.1</v>
      </c>
      <c r="I821" s="1" t="s">
        <v>36</v>
      </c>
      <c r="J821" s="1">
        <v>6</v>
      </c>
      <c r="K821" s="1">
        <v>3</v>
      </c>
      <c r="L821" s="1">
        <v>9</v>
      </c>
      <c r="M821" s="8">
        <v>0</v>
      </c>
    </row>
    <row r="822" spans="1:13" hidden="1" x14ac:dyDescent="0.25">
      <c r="A822" s="7">
        <v>19</v>
      </c>
      <c r="B822" s="1" t="s">
        <v>37</v>
      </c>
      <c r="C822" s="1">
        <v>7.1</v>
      </c>
      <c r="D822" s="1" t="s">
        <v>38</v>
      </c>
      <c r="E822" s="1">
        <v>6.3</v>
      </c>
      <c r="F822" s="1">
        <v>0.8</v>
      </c>
      <c r="G822" s="1">
        <v>3.66</v>
      </c>
      <c r="H822" s="1">
        <v>0.5</v>
      </c>
      <c r="I822" s="1" t="s">
        <v>39</v>
      </c>
      <c r="J822" s="1">
        <v>3</v>
      </c>
      <c r="K822" s="1">
        <v>7</v>
      </c>
      <c r="L822" s="1">
        <v>7</v>
      </c>
      <c r="M822" s="8">
        <v>0</v>
      </c>
    </row>
    <row r="823" spans="1:13" hidden="1" x14ac:dyDescent="0.25">
      <c r="A823" s="7">
        <v>13</v>
      </c>
      <c r="B823" s="1" t="s">
        <v>37</v>
      </c>
      <c r="C823" s="1">
        <v>4.3</v>
      </c>
      <c r="D823" s="1" t="s">
        <v>38</v>
      </c>
      <c r="E823" s="1">
        <v>4.4000000000000004</v>
      </c>
      <c r="F823" s="1">
        <v>0.9</v>
      </c>
      <c r="G823" s="1">
        <v>2.35</v>
      </c>
      <c r="H823" s="1">
        <v>1.5</v>
      </c>
      <c r="I823" s="1" t="s">
        <v>39</v>
      </c>
      <c r="J823" s="1">
        <v>3</v>
      </c>
      <c r="K823" s="1">
        <v>1</v>
      </c>
      <c r="L823" s="1">
        <v>7</v>
      </c>
      <c r="M823" s="8">
        <v>0</v>
      </c>
    </row>
    <row r="824" spans="1:13" hidden="1" x14ac:dyDescent="0.25">
      <c r="A824" s="7">
        <v>19</v>
      </c>
      <c r="B824" s="1" t="s">
        <v>34</v>
      </c>
      <c r="C824" s="1">
        <v>1.6</v>
      </c>
      <c r="D824" s="1" t="s">
        <v>41</v>
      </c>
      <c r="E824" s="1">
        <v>4.4000000000000004</v>
      </c>
      <c r="F824" s="1">
        <v>1.4</v>
      </c>
      <c r="G824" s="1">
        <v>2.0299999999999998</v>
      </c>
      <c r="H824" s="1">
        <v>1.1000000000000001</v>
      </c>
      <c r="I824" s="1" t="s">
        <v>39</v>
      </c>
      <c r="J824" s="1">
        <v>2</v>
      </c>
      <c r="K824" s="1">
        <v>9</v>
      </c>
      <c r="L824" s="1">
        <v>5</v>
      </c>
      <c r="M824" s="8">
        <v>0</v>
      </c>
    </row>
    <row r="825" spans="1:13" hidden="1" x14ac:dyDescent="0.25">
      <c r="A825" s="7">
        <v>19</v>
      </c>
      <c r="B825" s="1" t="s">
        <v>37</v>
      </c>
      <c r="C825" s="1">
        <v>1.4</v>
      </c>
      <c r="D825" s="1" t="s">
        <v>41</v>
      </c>
      <c r="E825" s="1">
        <v>8</v>
      </c>
      <c r="F825" s="1">
        <v>2.5</v>
      </c>
      <c r="G825" s="1">
        <v>3.54</v>
      </c>
      <c r="H825" s="1">
        <v>1.8</v>
      </c>
      <c r="I825" s="1" t="s">
        <v>36</v>
      </c>
      <c r="J825" s="1">
        <v>4</v>
      </c>
      <c r="K825" s="1">
        <v>8</v>
      </c>
      <c r="L825" s="1">
        <v>3</v>
      </c>
      <c r="M825" s="8">
        <v>0</v>
      </c>
    </row>
    <row r="826" spans="1:13" x14ac:dyDescent="0.25">
      <c r="A826" s="7">
        <v>18</v>
      </c>
      <c r="B826" s="1" t="s">
        <v>37</v>
      </c>
      <c r="C826" s="1">
        <v>3.2</v>
      </c>
      <c r="D826" s="1" t="s">
        <v>35</v>
      </c>
      <c r="E826" s="1">
        <v>6.8</v>
      </c>
      <c r="F826" s="1">
        <v>2.2999999999999998</v>
      </c>
      <c r="G826" s="1">
        <v>3.16</v>
      </c>
      <c r="H826" s="1">
        <v>1.8</v>
      </c>
      <c r="I826" s="1" t="s">
        <v>36</v>
      </c>
      <c r="J826" s="1">
        <v>4</v>
      </c>
      <c r="K826" s="1">
        <v>8</v>
      </c>
      <c r="L826" s="1">
        <v>5</v>
      </c>
      <c r="M826" s="8">
        <v>0</v>
      </c>
    </row>
    <row r="827" spans="1:13" hidden="1" x14ac:dyDescent="0.25">
      <c r="A827" s="7">
        <v>17</v>
      </c>
      <c r="B827" s="1" t="s">
        <v>34</v>
      </c>
      <c r="C827" s="1">
        <v>1.5</v>
      </c>
      <c r="D827" s="1" t="s">
        <v>41</v>
      </c>
      <c r="E827" s="1">
        <v>8</v>
      </c>
      <c r="F827" s="1">
        <v>0.5</v>
      </c>
      <c r="G827" s="1">
        <v>3.01</v>
      </c>
      <c r="H827" s="1">
        <v>0.4</v>
      </c>
      <c r="I827" s="1" t="s">
        <v>40</v>
      </c>
      <c r="J827" s="1">
        <v>10</v>
      </c>
      <c r="K827" s="1">
        <v>2</v>
      </c>
      <c r="L827" s="1">
        <v>3</v>
      </c>
      <c r="M827" s="8">
        <v>0</v>
      </c>
    </row>
    <row r="828" spans="1:13" hidden="1" x14ac:dyDescent="0.25">
      <c r="A828" s="7">
        <v>18</v>
      </c>
      <c r="B828" s="1" t="s">
        <v>34</v>
      </c>
      <c r="C828" s="1">
        <v>7.5</v>
      </c>
      <c r="D828" s="1" t="s">
        <v>38</v>
      </c>
      <c r="E828" s="1">
        <v>5.0999999999999996</v>
      </c>
      <c r="F828" s="1">
        <v>2.6</v>
      </c>
      <c r="G828" s="1">
        <v>3.82</v>
      </c>
      <c r="H828" s="1">
        <v>0.7</v>
      </c>
      <c r="I828" s="1" t="s">
        <v>36</v>
      </c>
      <c r="J828" s="1">
        <v>7</v>
      </c>
      <c r="K828" s="1">
        <v>3</v>
      </c>
      <c r="L828" s="1">
        <v>8</v>
      </c>
      <c r="M828" s="8">
        <v>0</v>
      </c>
    </row>
    <row r="829" spans="1:13" x14ac:dyDescent="0.25">
      <c r="A829" s="7">
        <v>14</v>
      </c>
      <c r="B829" s="1" t="s">
        <v>37</v>
      </c>
      <c r="C829" s="1">
        <v>3.5</v>
      </c>
      <c r="D829" s="1" t="s">
        <v>35</v>
      </c>
      <c r="E829" s="1">
        <v>4.5999999999999996</v>
      </c>
      <c r="F829" s="1">
        <v>0.7</v>
      </c>
      <c r="G829" s="1">
        <v>2.74</v>
      </c>
      <c r="H829" s="1">
        <v>1</v>
      </c>
      <c r="I829" s="1" t="s">
        <v>36</v>
      </c>
      <c r="J829" s="1">
        <v>2</v>
      </c>
      <c r="K829" s="1">
        <v>7</v>
      </c>
      <c r="L829" s="1">
        <v>8</v>
      </c>
      <c r="M829" s="8">
        <v>0</v>
      </c>
    </row>
    <row r="830" spans="1:13" hidden="1" x14ac:dyDescent="0.25">
      <c r="A830" s="7">
        <v>17</v>
      </c>
      <c r="B830" s="1" t="s">
        <v>34</v>
      </c>
      <c r="C830" s="1">
        <v>4.4000000000000004</v>
      </c>
      <c r="D830" s="1" t="s">
        <v>41</v>
      </c>
      <c r="E830" s="1">
        <v>8.1999999999999993</v>
      </c>
      <c r="F830" s="1">
        <v>2.7</v>
      </c>
      <c r="G830" s="1">
        <v>3.13</v>
      </c>
      <c r="H830" s="1">
        <v>0.3</v>
      </c>
      <c r="I830" s="1" t="s">
        <v>40</v>
      </c>
      <c r="J830" s="1">
        <v>3</v>
      </c>
      <c r="K830" s="1">
        <v>1</v>
      </c>
      <c r="L830" s="1">
        <v>2</v>
      </c>
      <c r="M830" s="8">
        <v>0</v>
      </c>
    </row>
    <row r="831" spans="1:13" hidden="1" x14ac:dyDescent="0.25">
      <c r="A831" s="7">
        <v>17</v>
      </c>
      <c r="B831" s="1" t="s">
        <v>34</v>
      </c>
      <c r="C831" s="1">
        <v>4.5999999999999996</v>
      </c>
      <c r="D831" s="1" t="s">
        <v>38</v>
      </c>
      <c r="E831" s="1">
        <v>5.0999999999999996</v>
      </c>
      <c r="F831" s="1">
        <v>2.5</v>
      </c>
      <c r="G831" s="1">
        <v>2.13</v>
      </c>
      <c r="H831" s="1">
        <v>1</v>
      </c>
      <c r="I831" s="1" t="s">
        <v>40</v>
      </c>
      <c r="J831" s="1">
        <v>2</v>
      </c>
      <c r="K831" s="1">
        <v>5</v>
      </c>
      <c r="L831" s="1">
        <v>6</v>
      </c>
      <c r="M831" s="8">
        <v>0</v>
      </c>
    </row>
    <row r="832" spans="1:13" hidden="1" x14ac:dyDescent="0.25">
      <c r="A832" s="7">
        <v>13</v>
      </c>
      <c r="B832" s="1" t="s">
        <v>34</v>
      </c>
      <c r="C832" s="1">
        <v>5.9</v>
      </c>
      <c r="D832" s="1" t="s">
        <v>38</v>
      </c>
      <c r="E832" s="1">
        <v>6.6</v>
      </c>
      <c r="F832" s="1">
        <v>2.6</v>
      </c>
      <c r="G832" s="1">
        <v>3.58</v>
      </c>
      <c r="H832" s="1">
        <v>1.6</v>
      </c>
      <c r="I832" s="1" t="s">
        <v>40</v>
      </c>
      <c r="J832" s="1">
        <v>7</v>
      </c>
      <c r="K832" s="1">
        <v>7</v>
      </c>
      <c r="L832" s="1">
        <v>10</v>
      </c>
      <c r="M832" s="8">
        <v>0</v>
      </c>
    </row>
    <row r="833" spans="1:13" hidden="1" x14ac:dyDescent="0.25">
      <c r="A833" s="7">
        <v>16</v>
      </c>
      <c r="B833" s="1" t="s">
        <v>37</v>
      </c>
      <c r="C833" s="1">
        <v>7.8</v>
      </c>
      <c r="D833" s="1" t="s">
        <v>38</v>
      </c>
      <c r="E833" s="1">
        <v>4.7</v>
      </c>
      <c r="F833" s="1">
        <v>1.1000000000000001</v>
      </c>
      <c r="G833" s="1">
        <v>3.53</v>
      </c>
      <c r="H833" s="1">
        <v>2</v>
      </c>
      <c r="I833" s="1" t="s">
        <v>40</v>
      </c>
      <c r="J833" s="1">
        <v>9</v>
      </c>
      <c r="K833" s="1">
        <v>3</v>
      </c>
      <c r="L833" s="1">
        <v>8</v>
      </c>
      <c r="M833" s="8">
        <v>0</v>
      </c>
    </row>
    <row r="834" spans="1:13" hidden="1" x14ac:dyDescent="0.25">
      <c r="A834" s="7">
        <v>15</v>
      </c>
      <c r="B834" s="1" t="s">
        <v>37</v>
      </c>
      <c r="C834" s="1">
        <v>4.8</v>
      </c>
      <c r="D834" s="1" t="s">
        <v>38</v>
      </c>
      <c r="E834" s="1">
        <v>7.3</v>
      </c>
      <c r="F834" s="1">
        <v>1.9</v>
      </c>
      <c r="G834" s="1">
        <v>2.76</v>
      </c>
      <c r="H834" s="1">
        <v>0.9</v>
      </c>
      <c r="I834" s="1" t="s">
        <v>39</v>
      </c>
      <c r="J834" s="1">
        <v>2</v>
      </c>
      <c r="K834" s="1">
        <v>10</v>
      </c>
      <c r="L834" s="1">
        <v>1</v>
      </c>
      <c r="M834" s="8">
        <v>0</v>
      </c>
    </row>
    <row r="835" spans="1:13" hidden="1" x14ac:dyDescent="0.25">
      <c r="A835" s="7">
        <v>16</v>
      </c>
      <c r="B835" s="1" t="s">
        <v>37</v>
      </c>
      <c r="C835" s="1">
        <v>7.4</v>
      </c>
      <c r="D835" s="1" t="s">
        <v>38</v>
      </c>
      <c r="E835" s="1">
        <v>4.5999999999999996</v>
      </c>
      <c r="F835" s="1">
        <v>1</v>
      </c>
      <c r="G835" s="1">
        <v>2.23</v>
      </c>
      <c r="H835" s="1">
        <v>1.1000000000000001</v>
      </c>
      <c r="I835" s="1" t="s">
        <v>36</v>
      </c>
      <c r="J835" s="1">
        <v>2</v>
      </c>
      <c r="K835" s="1">
        <v>4</v>
      </c>
      <c r="L835" s="1">
        <v>5</v>
      </c>
      <c r="M835" s="8">
        <v>0</v>
      </c>
    </row>
    <row r="836" spans="1:13" hidden="1" x14ac:dyDescent="0.25">
      <c r="A836" s="7">
        <v>18</v>
      </c>
      <c r="B836" s="1" t="s">
        <v>34</v>
      </c>
      <c r="C836" s="1">
        <v>2.7</v>
      </c>
      <c r="D836" s="1" t="s">
        <v>35</v>
      </c>
      <c r="E836" s="1">
        <v>7.9</v>
      </c>
      <c r="F836" s="1">
        <v>1.2</v>
      </c>
      <c r="G836" s="1">
        <v>2.75</v>
      </c>
      <c r="H836" s="1">
        <v>1.9</v>
      </c>
      <c r="I836" s="1" t="s">
        <v>40</v>
      </c>
      <c r="J836" s="1">
        <v>5</v>
      </c>
      <c r="K836" s="1">
        <v>8</v>
      </c>
      <c r="L836" s="1">
        <v>3</v>
      </c>
      <c r="M836" s="8">
        <v>0</v>
      </c>
    </row>
    <row r="837" spans="1:13" hidden="1" x14ac:dyDescent="0.25">
      <c r="A837" s="7">
        <v>13</v>
      </c>
      <c r="B837" s="1" t="s">
        <v>37</v>
      </c>
      <c r="C837" s="1">
        <v>5.3</v>
      </c>
      <c r="D837" s="1" t="s">
        <v>38</v>
      </c>
      <c r="E837" s="1">
        <v>6.4</v>
      </c>
      <c r="F837" s="1">
        <v>1.1000000000000001</v>
      </c>
      <c r="G837" s="1">
        <v>3.32</v>
      </c>
      <c r="H837" s="1">
        <v>1.9</v>
      </c>
      <c r="I837" s="1" t="s">
        <v>40</v>
      </c>
      <c r="J837" s="1">
        <v>8</v>
      </c>
      <c r="K837" s="1">
        <v>5</v>
      </c>
      <c r="L837" s="1">
        <v>10</v>
      </c>
      <c r="M837" s="8">
        <v>0</v>
      </c>
    </row>
    <row r="838" spans="1:13" hidden="1" x14ac:dyDescent="0.25">
      <c r="A838" s="7">
        <v>16</v>
      </c>
      <c r="B838" s="1" t="s">
        <v>37</v>
      </c>
      <c r="C838" s="1">
        <v>3.6</v>
      </c>
      <c r="D838" s="1" t="s">
        <v>41</v>
      </c>
      <c r="E838" s="1">
        <v>4.4000000000000004</v>
      </c>
      <c r="F838" s="1">
        <v>2.4</v>
      </c>
      <c r="G838" s="1">
        <v>2.5299999999999998</v>
      </c>
      <c r="H838" s="1">
        <v>0.7</v>
      </c>
      <c r="I838" s="1" t="s">
        <v>40</v>
      </c>
      <c r="J838" s="1">
        <v>1</v>
      </c>
      <c r="K838" s="1">
        <v>7</v>
      </c>
      <c r="L838" s="1">
        <v>5</v>
      </c>
      <c r="M838" s="8">
        <v>0</v>
      </c>
    </row>
    <row r="839" spans="1:13" hidden="1" x14ac:dyDescent="0.25">
      <c r="A839" s="7">
        <v>18</v>
      </c>
      <c r="B839" s="1" t="s">
        <v>34</v>
      </c>
      <c r="C839" s="1">
        <v>2.5</v>
      </c>
      <c r="D839" s="1" t="s">
        <v>41</v>
      </c>
      <c r="E839" s="1">
        <v>5.7</v>
      </c>
      <c r="F839" s="1">
        <v>2.1</v>
      </c>
      <c r="G839" s="1">
        <v>3.33</v>
      </c>
      <c r="H839" s="1">
        <v>0.6</v>
      </c>
      <c r="I839" s="1" t="s">
        <v>36</v>
      </c>
      <c r="J839" s="1">
        <v>8</v>
      </c>
      <c r="K839" s="1">
        <v>4</v>
      </c>
      <c r="L839" s="1">
        <v>6</v>
      </c>
      <c r="M839" s="8">
        <v>0</v>
      </c>
    </row>
    <row r="840" spans="1:13" hidden="1" x14ac:dyDescent="0.25">
      <c r="A840" s="7">
        <v>15</v>
      </c>
      <c r="B840" s="1" t="s">
        <v>34</v>
      </c>
      <c r="C840" s="1">
        <v>4.5</v>
      </c>
      <c r="D840" s="1" t="s">
        <v>41</v>
      </c>
      <c r="E840" s="1">
        <v>7</v>
      </c>
      <c r="F840" s="1">
        <v>1.5</v>
      </c>
      <c r="G840" s="1">
        <v>3.16</v>
      </c>
      <c r="H840" s="1">
        <v>1.7</v>
      </c>
      <c r="I840" s="1" t="s">
        <v>40</v>
      </c>
      <c r="J840" s="1">
        <v>4</v>
      </c>
      <c r="K840" s="1">
        <v>7</v>
      </c>
      <c r="L840" s="1">
        <v>10</v>
      </c>
      <c r="M840" s="8">
        <v>0</v>
      </c>
    </row>
    <row r="841" spans="1:13" hidden="1" x14ac:dyDescent="0.25">
      <c r="A841" s="7">
        <v>18</v>
      </c>
      <c r="B841" s="1" t="s">
        <v>37</v>
      </c>
      <c r="C841" s="1">
        <v>1.9</v>
      </c>
      <c r="D841" s="1" t="s">
        <v>41</v>
      </c>
      <c r="E841" s="1">
        <v>5.0999999999999996</v>
      </c>
      <c r="F841" s="1">
        <v>2.9</v>
      </c>
      <c r="G841" s="1">
        <v>2.62</v>
      </c>
      <c r="H841" s="1">
        <v>1</v>
      </c>
      <c r="I841" s="1" t="s">
        <v>36</v>
      </c>
      <c r="J841" s="1">
        <v>4</v>
      </c>
      <c r="K841" s="1">
        <v>3</v>
      </c>
      <c r="L841" s="1">
        <v>2</v>
      </c>
      <c r="M841" s="8">
        <v>0</v>
      </c>
    </row>
    <row r="842" spans="1:13" hidden="1" x14ac:dyDescent="0.25">
      <c r="A842" s="7">
        <v>17</v>
      </c>
      <c r="B842" s="1" t="s">
        <v>34</v>
      </c>
      <c r="C842" s="1">
        <v>3.8</v>
      </c>
      <c r="D842" s="1" t="s">
        <v>35</v>
      </c>
      <c r="E842" s="1">
        <v>7.7</v>
      </c>
      <c r="F842" s="1">
        <v>0.7</v>
      </c>
      <c r="G842" s="1">
        <v>3.45</v>
      </c>
      <c r="H842" s="1">
        <v>1</v>
      </c>
      <c r="I842" s="1" t="s">
        <v>36</v>
      </c>
      <c r="J842" s="1">
        <v>2</v>
      </c>
      <c r="K842" s="1">
        <v>8</v>
      </c>
      <c r="L842" s="1">
        <v>9</v>
      </c>
      <c r="M842" s="8">
        <v>0</v>
      </c>
    </row>
    <row r="843" spans="1:13" hidden="1" x14ac:dyDescent="0.25">
      <c r="A843" s="7">
        <v>18</v>
      </c>
      <c r="B843" s="1" t="s">
        <v>37</v>
      </c>
      <c r="C843" s="1">
        <v>3.9</v>
      </c>
      <c r="D843" s="1" t="s">
        <v>41</v>
      </c>
      <c r="E843" s="1">
        <v>4</v>
      </c>
      <c r="F843" s="1">
        <v>1.8</v>
      </c>
      <c r="G843" s="1">
        <v>2.19</v>
      </c>
      <c r="H843" s="1">
        <v>1.4</v>
      </c>
      <c r="I843" s="1" t="s">
        <v>39</v>
      </c>
      <c r="J843" s="1">
        <v>1</v>
      </c>
      <c r="K843" s="1">
        <v>2</v>
      </c>
      <c r="L843" s="1">
        <v>5</v>
      </c>
      <c r="M843" s="8">
        <v>0</v>
      </c>
    </row>
    <row r="844" spans="1:13" hidden="1" x14ac:dyDescent="0.25">
      <c r="A844" s="7">
        <v>17</v>
      </c>
      <c r="B844" s="1" t="s">
        <v>37</v>
      </c>
      <c r="C844" s="1">
        <v>1.1000000000000001</v>
      </c>
      <c r="D844" s="1" t="s">
        <v>41</v>
      </c>
      <c r="E844" s="1">
        <v>8.6999999999999993</v>
      </c>
      <c r="F844" s="1">
        <v>2.1</v>
      </c>
      <c r="G844" s="1">
        <v>3.01</v>
      </c>
      <c r="H844" s="1">
        <v>0.7</v>
      </c>
      <c r="I844" s="1" t="s">
        <v>40</v>
      </c>
      <c r="J844" s="1">
        <v>1</v>
      </c>
      <c r="K844" s="1">
        <v>1</v>
      </c>
      <c r="L844" s="1">
        <v>3</v>
      </c>
      <c r="M844" s="8">
        <v>0</v>
      </c>
    </row>
    <row r="845" spans="1:13" hidden="1" x14ac:dyDescent="0.25">
      <c r="A845" s="7">
        <v>15</v>
      </c>
      <c r="B845" s="1" t="s">
        <v>37</v>
      </c>
      <c r="C845" s="1">
        <v>3.9</v>
      </c>
      <c r="D845" s="1" t="s">
        <v>41</v>
      </c>
      <c r="E845" s="1">
        <v>8.6999999999999993</v>
      </c>
      <c r="F845" s="1">
        <v>1.1000000000000001</v>
      </c>
      <c r="G845" s="1">
        <v>2.82</v>
      </c>
      <c r="H845" s="1">
        <v>0.3</v>
      </c>
      <c r="I845" s="1" t="s">
        <v>39</v>
      </c>
      <c r="J845" s="1">
        <v>5</v>
      </c>
      <c r="K845" s="1">
        <v>10</v>
      </c>
      <c r="L845" s="1">
        <v>6</v>
      </c>
      <c r="M845" s="8">
        <v>0</v>
      </c>
    </row>
    <row r="846" spans="1:13" hidden="1" x14ac:dyDescent="0.25">
      <c r="A846" s="7">
        <v>16</v>
      </c>
      <c r="B846" s="1" t="s">
        <v>34</v>
      </c>
      <c r="C846" s="1">
        <v>8</v>
      </c>
      <c r="D846" s="1" t="s">
        <v>35</v>
      </c>
      <c r="E846" s="1">
        <v>8.1</v>
      </c>
      <c r="F846" s="1">
        <v>2.5</v>
      </c>
      <c r="G846" s="1">
        <v>2.7</v>
      </c>
      <c r="H846" s="1">
        <v>1.7</v>
      </c>
      <c r="I846" s="1" t="s">
        <v>40</v>
      </c>
      <c r="J846" s="1">
        <v>4</v>
      </c>
      <c r="K846" s="1">
        <v>5</v>
      </c>
      <c r="L846" s="1">
        <v>7</v>
      </c>
      <c r="M846" s="8">
        <v>0</v>
      </c>
    </row>
    <row r="847" spans="1:13" hidden="1" x14ac:dyDescent="0.25">
      <c r="A847" s="7">
        <v>14</v>
      </c>
      <c r="B847" s="1" t="s">
        <v>37</v>
      </c>
      <c r="C847" s="1">
        <v>1.2</v>
      </c>
      <c r="D847" s="1" t="s">
        <v>38</v>
      </c>
      <c r="E847" s="1">
        <v>8.5</v>
      </c>
      <c r="F847" s="1">
        <v>2.2999999999999998</v>
      </c>
      <c r="G847" s="1">
        <v>3.91</v>
      </c>
      <c r="H847" s="1">
        <v>1.8</v>
      </c>
      <c r="I847" s="1" t="s">
        <v>39</v>
      </c>
      <c r="J847" s="1">
        <v>1</v>
      </c>
      <c r="K847" s="1">
        <v>8</v>
      </c>
      <c r="L847" s="1">
        <v>1</v>
      </c>
      <c r="M847" s="8">
        <v>0</v>
      </c>
    </row>
    <row r="848" spans="1:13" hidden="1" x14ac:dyDescent="0.25">
      <c r="A848" s="7">
        <v>15</v>
      </c>
      <c r="B848" s="1" t="s">
        <v>34</v>
      </c>
      <c r="C848" s="1">
        <v>2.2000000000000002</v>
      </c>
      <c r="D848" s="1" t="s">
        <v>35</v>
      </c>
      <c r="E848" s="1">
        <v>6.1</v>
      </c>
      <c r="F848" s="1">
        <v>0.9</v>
      </c>
      <c r="G848" s="1">
        <v>3.81</v>
      </c>
      <c r="H848" s="1">
        <v>0.1</v>
      </c>
      <c r="I848" s="1" t="s">
        <v>39</v>
      </c>
      <c r="J848" s="1">
        <v>2</v>
      </c>
      <c r="K848" s="1">
        <v>7</v>
      </c>
      <c r="L848" s="1">
        <v>3</v>
      </c>
      <c r="M848" s="8">
        <v>0</v>
      </c>
    </row>
    <row r="849" spans="1:13" hidden="1" x14ac:dyDescent="0.25">
      <c r="A849" s="7">
        <v>15</v>
      </c>
      <c r="B849" s="1" t="s">
        <v>37</v>
      </c>
      <c r="C849" s="1">
        <v>4.2</v>
      </c>
      <c r="D849" s="1" t="s">
        <v>38</v>
      </c>
      <c r="E849" s="1">
        <v>6.8</v>
      </c>
      <c r="F849" s="1">
        <v>1.4</v>
      </c>
      <c r="G849" s="1">
        <v>2.0099999999999998</v>
      </c>
      <c r="H849" s="1">
        <v>1</v>
      </c>
      <c r="I849" s="1" t="s">
        <v>36</v>
      </c>
      <c r="J849" s="1">
        <v>6</v>
      </c>
      <c r="K849" s="1">
        <v>6</v>
      </c>
      <c r="L849" s="1">
        <v>4</v>
      </c>
      <c r="M849" s="8">
        <v>0</v>
      </c>
    </row>
    <row r="850" spans="1:13" hidden="1" x14ac:dyDescent="0.25">
      <c r="A850" s="7">
        <v>19</v>
      </c>
      <c r="B850" s="1" t="s">
        <v>34</v>
      </c>
      <c r="C850" s="1">
        <v>6</v>
      </c>
      <c r="D850" s="1" t="s">
        <v>41</v>
      </c>
      <c r="E850" s="1">
        <v>5.6</v>
      </c>
      <c r="F850" s="1">
        <v>1.1000000000000001</v>
      </c>
      <c r="G850" s="1">
        <v>2.4300000000000002</v>
      </c>
      <c r="H850" s="1">
        <v>1.7</v>
      </c>
      <c r="I850" s="1" t="s">
        <v>40</v>
      </c>
      <c r="J850" s="1">
        <v>1</v>
      </c>
      <c r="K850" s="1">
        <v>3</v>
      </c>
      <c r="L850" s="1">
        <v>3</v>
      </c>
      <c r="M850" s="8">
        <v>0</v>
      </c>
    </row>
    <row r="851" spans="1:13" hidden="1" x14ac:dyDescent="0.25">
      <c r="A851" s="7">
        <v>19</v>
      </c>
      <c r="B851" s="1" t="s">
        <v>34</v>
      </c>
      <c r="C851" s="1">
        <v>5.4</v>
      </c>
      <c r="D851" s="1" t="s">
        <v>35</v>
      </c>
      <c r="E851" s="1">
        <v>4.9000000000000004</v>
      </c>
      <c r="F851" s="1">
        <v>0.6</v>
      </c>
      <c r="G851" s="1">
        <v>3.17</v>
      </c>
      <c r="H851" s="1">
        <v>0</v>
      </c>
      <c r="I851" s="1" t="s">
        <v>36</v>
      </c>
      <c r="J851" s="1">
        <v>5</v>
      </c>
      <c r="K851" s="1">
        <v>6</v>
      </c>
      <c r="L851" s="1">
        <v>10</v>
      </c>
      <c r="M851" s="8">
        <v>0</v>
      </c>
    </row>
    <row r="852" spans="1:13" hidden="1" x14ac:dyDescent="0.25">
      <c r="A852" s="7">
        <v>15</v>
      </c>
      <c r="B852" s="1" t="s">
        <v>37</v>
      </c>
      <c r="C852" s="1">
        <v>2.7</v>
      </c>
      <c r="D852" s="1" t="s">
        <v>38</v>
      </c>
      <c r="E852" s="1">
        <v>7.6</v>
      </c>
      <c r="F852" s="1">
        <v>2.5</v>
      </c>
      <c r="G852" s="1">
        <v>2.37</v>
      </c>
      <c r="H852" s="1">
        <v>1.9</v>
      </c>
      <c r="I852" s="1" t="s">
        <v>39</v>
      </c>
      <c r="J852" s="1">
        <v>1</v>
      </c>
      <c r="K852" s="1">
        <v>8</v>
      </c>
      <c r="L852" s="1">
        <v>7</v>
      </c>
      <c r="M852" s="8">
        <v>0</v>
      </c>
    </row>
    <row r="853" spans="1:13" hidden="1" x14ac:dyDescent="0.25">
      <c r="A853" s="7">
        <v>19</v>
      </c>
      <c r="B853" s="1" t="s">
        <v>37</v>
      </c>
      <c r="C853" s="1">
        <v>1.9</v>
      </c>
      <c r="D853" s="1" t="s">
        <v>41</v>
      </c>
      <c r="E853" s="1">
        <v>6.2</v>
      </c>
      <c r="F853" s="1">
        <v>0.9</v>
      </c>
      <c r="G853" s="1">
        <v>2.4700000000000002</v>
      </c>
      <c r="H853" s="1">
        <v>1.4</v>
      </c>
      <c r="I853" s="1" t="s">
        <v>36</v>
      </c>
      <c r="J853" s="1">
        <v>5</v>
      </c>
      <c r="K853" s="1">
        <v>6</v>
      </c>
      <c r="L853" s="1">
        <v>7</v>
      </c>
      <c r="M853" s="8">
        <v>0</v>
      </c>
    </row>
    <row r="854" spans="1:13" hidden="1" x14ac:dyDescent="0.25">
      <c r="A854" s="7">
        <v>14</v>
      </c>
      <c r="B854" s="1" t="s">
        <v>34</v>
      </c>
      <c r="C854" s="1">
        <v>1.5</v>
      </c>
      <c r="D854" s="1" t="s">
        <v>41</v>
      </c>
      <c r="E854" s="1">
        <v>6.8</v>
      </c>
      <c r="F854" s="1">
        <v>0.8</v>
      </c>
      <c r="G854" s="1">
        <v>3.14</v>
      </c>
      <c r="H854" s="1">
        <v>0</v>
      </c>
      <c r="I854" s="1" t="s">
        <v>40</v>
      </c>
      <c r="J854" s="1">
        <v>4</v>
      </c>
      <c r="K854" s="1">
        <v>5</v>
      </c>
      <c r="L854" s="1">
        <v>8</v>
      </c>
      <c r="M854" s="8">
        <v>0</v>
      </c>
    </row>
    <row r="855" spans="1:13" hidden="1" x14ac:dyDescent="0.25">
      <c r="A855" s="7">
        <v>17</v>
      </c>
      <c r="B855" s="1" t="s">
        <v>37</v>
      </c>
      <c r="C855" s="1">
        <v>2.6</v>
      </c>
      <c r="D855" s="1" t="s">
        <v>38</v>
      </c>
      <c r="E855" s="1">
        <v>4.8</v>
      </c>
      <c r="F855" s="1">
        <v>0.7</v>
      </c>
      <c r="G855" s="1">
        <v>2.52</v>
      </c>
      <c r="H855" s="1">
        <v>1.8</v>
      </c>
      <c r="I855" s="1" t="s">
        <v>40</v>
      </c>
      <c r="J855" s="1">
        <v>9</v>
      </c>
      <c r="K855" s="1">
        <v>6</v>
      </c>
      <c r="L855" s="1">
        <v>6</v>
      </c>
      <c r="M855" s="8">
        <v>0</v>
      </c>
    </row>
    <row r="856" spans="1:13" hidden="1" x14ac:dyDescent="0.25">
      <c r="A856" s="7">
        <v>16</v>
      </c>
      <c r="B856" s="1" t="s">
        <v>34</v>
      </c>
      <c r="C856" s="1">
        <v>1.2</v>
      </c>
      <c r="D856" s="1" t="s">
        <v>35</v>
      </c>
      <c r="E856" s="1">
        <v>7.3</v>
      </c>
      <c r="F856" s="1">
        <v>1</v>
      </c>
      <c r="G856" s="1">
        <v>2.36</v>
      </c>
      <c r="H856" s="1">
        <v>1.1000000000000001</v>
      </c>
      <c r="I856" s="1" t="s">
        <v>40</v>
      </c>
      <c r="J856" s="1">
        <v>5</v>
      </c>
      <c r="K856" s="1">
        <v>3</v>
      </c>
      <c r="L856" s="1">
        <v>6</v>
      </c>
      <c r="M856" s="8">
        <v>0</v>
      </c>
    </row>
    <row r="857" spans="1:13" hidden="1" x14ac:dyDescent="0.25">
      <c r="A857" s="7">
        <v>18</v>
      </c>
      <c r="B857" s="1" t="s">
        <v>37</v>
      </c>
      <c r="C857" s="1">
        <v>1.8</v>
      </c>
      <c r="D857" s="1" t="s">
        <v>41</v>
      </c>
      <c r="E857" s="1">
        <v>7.8</v>
      </c>
      <c r="F857" s="1">
        <v>2</v>
      </c>
      <c r="G857" s="1">
        <v>2.67</v>
      </c>
      <c r="H857" s="1">
        <v>0.8</v>
      </c>
      <c r="I857" s="1" t="s">
        <v>36</v>
      </c>
      <c r="J857" s="1">
        <v>4</v>
      </c>
      <c r="K857" s="1">
        <v>6</v>
      </c>
      <c r="L857" s="1">
        <v>3</v>
      </c>
      <c r="M857" s="8">
        <v>0</v>
      </c>
    </row>
    <row r="858" spans="1:13" hidden="1" x14ac:dyDescent="0.25">
      <c r="A858" s="7">
        <v>19</v>
      </c>
      <c r="B858" s="1" t="s">
        <v>34</v>
      </c>
      <c r="C858" s="1">
        <v>4.8</v>
      </c>
      <c r="D858" s="1" t="s">
        <v>41</v>
      </c>
      <c r="E858" s="1">
        <v>7.5</v>
      </c>
      <c r="F858" s="1">
        <v>1</v>
      </c>
      <c r="G858" s="1">
        <v>2.68</v>
      </c>
      <c r="H858" s="1">
        <v>1.5</v>
      </c>
      <c r="I858" s="1" t="s">
        <v>36</v>
      </c>
      <c r="J858" s="1">
        <v>9</v>
      </c>
      <c r="K858" s="1">
        <v>4</v>
      </c>
      <c r="L858" s="1">
        <v>6</v>
      </c>
      <c r="M858" s="8">
        <v>0</v>
      </c>
    </row>
    <row r="859" spans="1:13" hidden="1" x14ac:dyDescent="0.25">
      <c r="A859" s="7">
        <v>19</v>
      </c>
      <c r="B859" s="1" t="s">
        <v>34</v>
      </c>
      <c r="C859" s="1">
        <v>2.1</v>
      </c>
      <c r="D859" s="1" t="s">
        <v>41</v>
      </c>
      <c r="E859" s="1">
        <v>5.6</v>
      </c>
      <c r="F859" s="1">
        <v>2.4</v>
      </c>
      <c r="G859" s="1">
        <v>3.56</v>
      </c>
      <c r="H859" s="1">
        <v>1</v>
      </c>
      <c r="I859" s="1" t="s">
        <v>39</v>
      </c>
      <c r="J859" s="1">
        <v>9</v>
      </c>
      <c r="K859" s="1">
        <v>3</v>
      </c>
      <c r="L859" s="1">
        <v>4</v>
      </c>
      <c r="M859" s="8">
        <v>0</v>
      </c>
    </row>
    <row r="860" spans="1:13" hidden="1" x14ac:dyDescent="0.25">
      <c r="A860" s="7">
        <v>15</v>
      </c>
      <c r="B860" s="1" t="s">
        <v>34</v>
      </c>
      <c r="C860" s="1">
        <v>4.4000000000000004</v>
      </c>
      <c r="D860" s="1" t="s">
        <v>35</v>
      </c>
      <c r="E860" s="1">
        <v>6</v>
      </c>
      <c r="F860" s="1">
        <v>0.5</v>
      </c>
      <c r="G860" s="1">
        <v>3.33</v>
      </c>
      <c r="H860" s="1">
        <v>0.7</v>
      </c>
      <c r="I860" s="1" t="s">
        <v>40</v>
      </c>
      <c r="J860" s="1">
        <v>1</v>
      </c>
      <c r="K860" s="1">
        <v>6</v>
      </c>
      <c r="L860" s="1">
        <v>10</v>
      </c>
      <c r="M860" s="8">
        <v>0</v>
      </c>
    </row>
    <row r="861" spans="1:13" hidden="1" x14ac:dyDescent="0.25">
      <c r="A861" s="7">
        <v>14</v>
      </c>
      <c r="B861" s="1" t="s">
        <v>34</v>
      </c>
      <c r="C861" s="1">
        <v>2.8</v>
      </c>
      <c r="D861" s="1" t="s">
        <v>41</v>
      </c>
      <c r="E861" s="1">
        <v>4.3</v>
      </c>
      <c r="F861" s="1">
        <v>3</v>
      </c>
      <c r="G861" s="1">
        <v>2.14</v>
      </c>
      <c r="H861" s="1">
        <v>1.9</v>
      </c>
      <c r="I861" s="1" t="s">
        <v>40</v>
      </c>
      <c r="J861" s="1">
        <v>9</v>
      </c>
      <c r="K861" s="1">
        <v>3</v>
      </c>
      <c r="L861" s="1">
        <v>7</v>
      </c>
      <c r="M861" s="8">
        <v>0</v>
      </c>
    </row>
    <row r="862" spans="1:13" hidden="1" x14ac:dyDescent="0.25">
      <c r="A862" s="7">
        <v>15</v>
      </c>
      <c r="B862" s="1" t="s">
        <v>34</v>
      </c>
      <c r="C862" s="1">
        <v>3.5</v>
      </c>
      <c r="D862" s="1" t="s">
        <v>38</v>
      </c>
      <c r="E862" s="1">
        <v>4.5</v>
      </c>
      <c r="F862" s="1">
        <v>2.7</v>
      </c>
      <c r="G862" s="1">
        <v>2.4700000000000002</v>
      </c>
      <c r="H862" s="1">
        <v>1.4</v>
      </c>
      <c r="I862" s="1" t="s">
        <v>36</v>
      </c>
      <c r="J862" s="1">
        <v>1</v>
      </c>
      <c r="K862" s="1">
        <v>5</v>
      </c>
      <c r="L862" s="1">
        <v>10</v>
      </c>
      <c r="M862" s="8">
        <v>0</v>
      </c>
    </row>
    <row r="863" spans="1:13" hidden="1" x14ac:dyDescent="0.25">
      <c r="A863" s="7">
        <v>15</v>
      </c>
      <c r="B863" s="1" t="s">
        <v>34</v>
      </c>
      <c r="C863" s="1">
        <v>6.8</v>
      </c>
      <c r="D863" s="1" t="s">
        <v>41</v>
      </c>
      <c r="E863" s="1">
        <v>6.6</v>
      </c>
      <c r="F863" s="1">
        <v>2.1</v>
      </c>
      <c r="G863" s="1">
        <v>3.43</v>
      </c>
      <c r="H863" s="1">
        <v>1.7</v>
      </c>
      <c r="I863" s="1" t="s">
        <v>36</v>
      </c>
      <c r="J863" s="1">
        <v>10</v>
      </c>
      <c r="K863" s="1">
        <v>10</v>
      </c>
      <c r="L863" s="1">
        <v>8</v>
      </c>
      <c r="M863" s="8">
        <v>0</v>
      </c>
    </row>
    <row r="864" spans="1:13" hidden="1" x14ac:dyDescent="0.25">
      <c r="A864" s="7">
        <v>14</v>
      </c>
      <c r="B864" s="1" t="s">
        <v>34</v>
      </c>
      <c r="C864" s="1">
        <v>7</v>
      </c>
      <c r="D864" s="1" t="s">
        <v>35</v>
      </c>
      <c r="E864" s="1">
        <v>5.2</v>
      </c>
      <c r="F864" s="1">
        <v>1.4</v>
      </c>
      <c r="G864" s="1">
        <v>3.27</v>
      </c>
      <c r="H864" s="1">
        <v>1.7</v>
      </c>
      <c r="I864" s="1" t="s">
        <v>40</v>
      </c>
      <c r="J864" s="1">
        <v>5</v>
      </c>
      <c r="K864" s="1">
        <v>7</v>
      </c>
      <c r="L864" s="1">
        <v>8</v>
      </c>
      <c r="M864" s="8">
        <v>0</v>
      </c>
    </row>
    <row r="865" spans="1:13" hidden="1" x14ac:dyDescent="0.25">
      <c r="A865" s="7">
        <v>17</v>
      </c>
      <c r="B865" s="1" t="s">
        <v>37</v>
      </c>
      <c r="C865" s="1">
        <v>7.5</v>
      </c>
      <c r="D865" s="1" t="s">
        <v>41</v>
      </c>
      <c r="E865" s="1">
        <v>8.1</v>
      </c>
      <c r="F865" s="1">
        <v>2.8</v>
      </c>
      <c r="G865" s="1">
        <v>2.58</v>
      </c>
      <c r="H865" s="1">
        <v>0.5</v>
      </c>
      <c r="I865" s="1" t="s">
        <v>40</v>
      </c>
      <c r="J865" s="1">
        <v>2</v>
      </c>
      <c r="K865" s="1">
        <v>2</v>
      </c>
      <c r="L865" s="1">
        <v>3</v>
      </c>
      <c r="M865" s="8">
        <v>0</v>
      </c>
    </row>
    <row r="866" spans="1:13" x14ac:dyDescent="0.25">
      <c r="A866" s="7">
        <v>17</v>
      </c>
      <c r="B866" s="1" t="s">
        <v>37</v>
      </c>
      <c r="C866" s="1">
        <v>2.5</v>
      </c>
      <c r="D866" s="1" t="s">
        <v>35</v>
      </c>
      <c r="E866" s="1">
        <v>4.4000000000000004</v>
      </c>
      <c r="F866" s="1">
        <v>2</v>
      </c>
      <c r="G866" s="1">
        <v>3.29</v>
      </c>
      <c r="H866" s="1">
        <v>0.7</v>
      </c>
      <c r="I866" s="1" t="s">
        <v>36</v>
      </c>
      <c r="J866" s="1">
        <v>4</v>
      </c>
      <c r="K866" s="1">
        <v>6</v>
      </c>
      <c r="L866" s="1">
        <v>5</v>
      </c>
      <c r="M866" s="8">
        <v>0</v>
      </c>
    </row>
    <row r="867" spans="1:13" hidden="1" x14ac:dyDescent="0.25">
      <c r="A867" s="7">
        <v>15</v>
      </c>
      <c r="B867" s="1" t="s">
        <v>34</v>
      </c>
      <c r="C867" s="1">
        <v>6.5</v>
      </c>
      <c r="D867" s="1" t="s">
        <v>38</v>
      </c>
      <c r="E867" s="1">
        <v>5.4</v>
      </c>
      <c r="F867" s="1">
        <v>2.1</v>
      </c>
      <c r="G867" s="1">
        <v>3.44</v>
      </c>
      <c r="H867" s="1">
        <v>1.8</v>
      </c>
      <c r="I867" s="1" t="s">
        <v>36</v>
      </c>
      <c r="J867" s="1">
        <v>7</v>
      </c>
      <c r="K867" s="1">
        <v>3</v>
      </c>
      <c r="L867" s="1">
        <v>6</v>
      </c>
      <c r="M867" s="8">
        <v>0</v>
      </c>
    </row>
    <row r="868" spans="1:13" hidden="1" x14ac:dyDescent="0.25">
      <c r="A868" s="7">
        <v>13</v>
      </c>
      <c r="B868" s="1" t="s">
        <v>34</v>
      </c>
      <c r="C868" s="1">
        <v>7.7</v>
      </c>
      <c r="D868" s="1" t="s">
        <v>35</v>
      </c>
      <c r="E868" s="1">
        <v>4.4000000000000004</v>
      </c>
      <c r="F868" s="1">
        <v>2</v>
      </c>
      <c r="G868" s="1">
        <v>3.09</v>
      </c>
      <c r="H868" s="1">
        <v>1</v>
      </c>
      <c r="I868" s="1" t="s">
        <v>39</v>
      </c>
      <c r="J868" s="1">
        <v>8</v>
      </c>
      <c r="K868" s="1">
        <v>7</v>
      </c>
      <c r="L868" s="1">
        <v>8</v>
      </c>
      <c r="M868" s="8">
        <v>1</v>
      </c>
    </row>
    <row r="869" spans="1:13" hidden="1" x14ac:dyDescent="0.25">
      <c r="A869" s="7">
        <v>18</v>
      </c>
      <c r="B869" s="1" t="s">
        <v>37</v>
      </c>
      <c r="C869" s="1">
        <v>3.2</v>
      </c>
      <c r="D869" s="1" t="s">
        <v>41</v>
      </c>
      <c r="E869" s="1">
        <v>7.8</v>
      </c>
      <c r="F869" s="1">
        <v>0.7</v>
      </c>
      <c r="G869" s="1">
        <v>3.46</v>
      </c>
      <c r="H869" s="1">
        <v>1.3</v>
      </c>
      <c r="I869" s="1" t="s">
        <v>36</v>
      </c>
      <c r="J869" s="1">
        <v>5</v>
      </c>
      <c r="K869" s="1">
        <v>10</v>
      </c>
      <c r="L869" s="1">
        <v>6</v>
      </c>
      <c r="M869" s="8">
        <v>0</v>
      </c>
    </row>
    <row r="870" spans="1:13" hidden="1" x14ac:dyDescent="0.25">
      <c r="A870" s="7">
        <v>16</v>
      </c>
      <c r="B870" s="1" t="s">
        <v>37</v>
      </c>
      <c r="C870" s="1">
        <v>5.3</v>
      </c>
      <c r="D870" s="1" t="s">
        <v>38</v>
      </c>
      <c r="E870" s="1">
        <v>4.3</v>
      </c>
      <c r="F870" s="1">
        <v>1.5</v>
      </c>
      <c r="G870" s="1">
        <v>2.54</v>
      </c>
      <c r="H870" s="1">
        <v>0.3</v>
      </c>
      <c r="I870" s="1" t="s">
        <v>39</v>
      </c>
      <c r="J870" s="1">
        <v>7</v>
      </c>
      <c r="K870" s="1">
        <v>7</v>
      </c>
      <c r="L870" s="1">
        <v>10</v>
      </c>
      <c r="M870" s="8">
        <v>1</v>
      </c>
    </row>
    <row r="871" spans="1:13" hidden="1" x14ac:dyDescent="0.25">
      <c r="A871" s="7">
        <v>14</v>
      </c>
      <c r="B871" s="1" t="s">
        <v>34</v>
      </c>
      <c r="C871" s="1">
        <v>5</v>
      </c>
      <c r="D871" s="1" t="s">
        <v>38</v>
      </c>
      <c r="E871" s="1">
        <v>5.2</v>
      </c>
      <c r="F871" s="1">
        <v>0.5</v>
      </c>
      <c r="G871" s="1">
        <v>3.55</v>
      </c>
      <c r="H871" s="1">
        <v>0.4</v>
      </c>
      <c r="I871" s="1" t="s">
        <v>36</v>
      </c>
      <c r="J871" s="1">
        <v>10</v>
      </c>
      <c r="K871" s="1">
        <v>6</v>
      </c>
      <c r="L871" s="1">
        <v>8</v>
      </c>
      <c r="M871" s="8">
        <v>0</v>
      </c>
    </row>
    <row r="872" spans="1:13" hidden="1" x14ac:dyDescent="0.25">
      <c r="A872" s="7">
        <v>19</v>
      </c>
      <c r="B872" s="1" t="s">
        <v>34</v>
      </c>
      <c r="C872" s="1">
        <v>6.1</v>
      </c>
      <c r="D872" s="1" t="s">
        <v>35</v>
      </c>
      <c r="E872" s="1">
        <v>7.1</v>
      </c>
      <c r="F872" s="1">
        <v>2.2999999999999998</v>
      </c>
      <c r="G872" s="1">
        <v>3.22</v>
      </c>
      <c r="H872" s="1">
        <v>0.5</v>
      </c>
      <c r="I872" s="1" t="s">
        <v>36</v>
      </c>
      <c r="J872" s="1">
        <v>4</v>
      </c>
      <c r="K872" s="1">
        <v>3</v>
      </c>
      <c r="L872" s="1">
        <v>7</v>
      </c>
      <c r="M872" s="8">
        <v>0</v>
      </c>
    </row>
    <row r="873" spans="1:13" hidden="1" x14ac:dyDescent="0.25">
      <c r="A873" s="7">
        <v>17</v>
      </c>
      <c r="B873" s="1" t="s">
        <v>34</v>
      </c>
      <c r="C873" s="1">
        <v>4.2</v>
      </c>
      <c r="D873" s="1" t="s">
        <v>38</v>
      </c>
      <c r="E873" s="1">
        <v>7.3</v>
      </c>
      <c r="F873" s="1">
        <v>2.6</v>
      </c>
      <c r="G873" s="1">
        <v>3.2</v>
      </c>
      <c r="H873" s="1">
        <v>0.2</v>
      </c>
      <c r="I873" s="1" t="s">
        <v>39</v>
      </c>
      <c r="J873" s="1">
        <v>7</v>
      </c>
      <c r="K873" s="1">
        <v>1</v>
      </c>
      <c r="L873" s="1">
        <v>3</v>
      </c>
      <c r="M873" s="8">
        <v>0</v>
      </c>
    </row>
    <row r="874" spans="1:13" hidden="1" x14ac:dyDescent="0.25">
      <c r="A874" s="7">
        <v>15</v>
      </c>
      <c r="B874" s="1" t="s">
        <v>34</v>
      </c>
      <c r="C874" s="1">
        <v>4.7</v>
      </c>
      <c r="D874" s="1" t="s">
        <v>35</v>
      </c>
      <c r="E874" s="1">
        <v>8.1999999999999993</v>
      </c>
      <c r="F874" s="1">
        <v>2.2999999999999998</v>
      </c>
      <c r="G874" s="1">
        <v>3.35</v>
      </c>
      <c r="H874" s="1">
        <v>0.6</v>
      </c>
      <c r="I874" s="1" t="s">
        <v>36</v>
      </c>
      <c r="J874" s="1">
        <v>6</v>
      </c>
      <c r="K874" s="1">
        <v>2</v>
      </c>
      <c r="L874" s="1">
        <v>5</v>
      </c>
      <c r="M874" s="8">
        <v>0</v>
      </c>
    </row>
    <row r="875" spans="1:13" hidden="1" x14ac:dyDescent="0.25">
      <c r="A875" s="7">
        <v>18</v>
      </c>
      <c r="B875" s="1" t="s">
        <v>34</v>
      </c>
      <c r="C875" s="1">
        <v>1.6</v>
      </c>
      <c r="D875" s="1" t="s">
        <v>38</v>
      </c>
      <c r="E875" s="1">
        <v>5.8</v>
      </c>
      <c r="F875" s="1">
        <v>0.6</v>
      </c>
      <c r="G875" s="1">
        <v>3.63</v>
      </c>
      <c r="H875" s="1">
        <v>1.1000000000000001</v>
      </c>
      <c r="I875" s="1" t="s">
        <v>39</v>
      </c>
      <c r="J875" s="1">
        <v>6</v>
      </c>
      <c r="K875" s="1">
        <v>9</v>
      </c>
      <c r="L875" s="1">
        <v>7</v>
      </c>
      <c r="M875" s="8">
        <v>0</v>
      </c>
    </row>
    <row r="876" spans="1:13" hidden="1" x14ac:dyDescent="0.25">
      <c r="A876" s="7">
        <v>14</v>
      </c>
      <c r="B876" s="1" t="s">
        <v>37</v>
      </c>
      <c r="C876" s="1">
        <v>1.7</v>
      </c>
      <c r="D876" s="1" t="s">
        <v>38</v>
      </c>
      <c r="E876" s="1">
        <v>6.5</v>
      </c>
      <c r="F876" s="1">
        <v>2.7</v>
      </c>
      <c r="G876" s="1">
        <v>2.06</v>
      </c>
      <c r="H876" s="1">
        <v>0.1</v>
      </c>
      <c r="I876" s="1" t="s">
        <v>40</v>
      </c>
      <c r="J876" s="1">
        <v>9</v>
      </c>
      <c r="K876" s="1">
        <v>5</v>
      </c>
      <c r="L876" s="1">
        <v>9</v>
      </c>
      <c r="M876" s="8">
        <v>0</v>
      </c>
    </row>
    <row r="877" spans="1:13" hidden="1" x14ac:dyDescent="0.25">
      <c r="A877" s="7">
        <v>18</v>
      </c>
      <c r="B877" s="1" t="s">
        <v>34</v>
      </c>
      <c r="C877" s="1">
        <v>4.5999999999999996</v>
      </c>
      <c r="D877" s="1" t="s">
        <v>35</v>
      </c>
      <c r="E877" s="1">
        <v>4.0999999999999996</v>
      </c>
      <c r="F877" s="1">
        <v>1.4</v>
      </c>
      <c r="G877" s="1">
        <v>2.2799999999999998</v>
      </c>
      <c r="H877" s="1">
        <v>0.4</v>
      </c>
      <c r="I877" s="1" t="s">
        <v>40</v>
      </c>
      <c r="J877" s="1">
        <v>4</v>
      </c>
      <c r="K877" s="1">
        <v>10</v>
      </c>
      <c r="L877" s="1">
        <v>10</v>
      </c>
      <c r="M877" s="8">
        <v>0</v>
      </c>
    </row>
    <row r="878" spans="1:13" hidden="1" x14ac:dyDescent="0.25">
      <c r="A878" s="7">
        <v>13</v>
      </c>
      <c r="B878" s="1" t="s">
        <v>37</v>
      </c>
      <c r="C878" s="1">
        <v>2.5</v>
      </c>
      <c r="D878" s="1" t="s">
        <v>38</v>
      </c>
      <c r="E878" s="1">
        <v>6.8</v>
      </c>
      <c r="F878" s="1">
        <v>2.8</v>
      </c>
      <c r="G878" s="1">
        <v>2.77</v>
      </c>
      <c r="H878" s="1">
        <v>0.5</v>
      </c>
      <c r="I878" s="1" t="s">
        <v>36</v>
      </c>
      <c r="J878" s="1">
        <v>2</v>
      </c>
      <c r="K878" s="1">
        <v>6</v>
      </c>
      <c r="L878" s="1">
        <v>10</v>
      </c>
      <c r="M878" s="8">
        <v>0</v>
      </c>
    </row>
    <row r="879" spans="1:13" hidden="1" x14ac:dyDescent="0.25">
      <c r="A879" s="7">
        <v>16</v>
      </c>
      <c r="B879" s="1" t="s">
        <v>37</v>
      </c>
      <c r="C879" s="1">
        <v>4.2</v>
      </c>
      <c r="D879" s="1" t="s">
        <v>38</v>
      </c>
      <c r="E879" s="1">
        <v>6.3</v>
      </c>
      <c r="F879" s="1">
        <v>1.2</v>
      </c>
      <c r="G879" s="1">
        <v>3.72</v>
      </c>
      <c r="H879" s="1">
        <v>1.9</v>
      </c>
      <c r="I879" s="1" t="s">
        <v>36</v>
      </c>
      <c r="J879" s="1">
        <v>5</v>
      </c>
      <c r="K879" s="1">
        <v>3</v>
      </c>
      <c r="L879" s="1">
        <v>7</v>
      </c>
      <c r="M879" s="8">
        <v>0</v>
      </c>
    </row>
    <row r="880" spans="1:13" hidden="1" x14ac:dyDescent="0.25">
      <c r="A880" s="7">
        <v>19</v>
      </c>
      <c r="B880" s="1" t="s">
        <v>37</v>
      </c>
      <c r="C880" s="1">
        <v>1.2</v>
      </c>
      <c r="D880" s="1" t="s">
        <v>38</v>
      </c>
      <c r="E880" s="1">
        <v>4.8</v>
      </c>
      <c r="F880" s="1">
        <v>1.7</v>
      </c>
      <c r="G880" s="1">
        <v>2.16</v>
      </c>
      <c r="H880" s="1">
        <v>0.6</v>
      </c>
      <c r="I880" s="1" t="s">
        <v>40</v>
      </c>
      <c r="J880" s="1">
        <v>10</v>
      </c>
      <c r="K880" s="1">
        <v>10</v>
      </c>
      <c r="L880" s="1">
        <v>10</v>
      </c>
      <c r="M880" s="8">
        <v>0</v>
      </c>
    </row>
    <row r="881" spans="1:13" hidden="1" x14ac:dyDescent="0.25">
      <c r="A881" s="7">
        <v>15</v>
      </c>
      <c r="B881" s="1" t="s">
        <v>34</v>
      </c>
      <c r="C881" s="1">
        <v>2.7</v>
      </c>
      <c r="D881" s="1" t="s">
        <v>35</v>
      </c>
      <c r="E881" s="1">
        <v>7.2</v>
      </c>
      <c r="F881" s="1">
        <v>2.9</v>
      </c>
      <c r="G881" s="1">
        <v>3.27</v>
      </c>
      <c r="H881" s="1">
        <v>0.8</v>
      </c>
      <c r="I881" s="1" t="s">
        <v>40</v>
      </c>
      <c r="J881" s="1">
        <v>5</v>
      </c>
      <c r="K881" s="1">
        <v>2</v>
      </c>
      <c r="L881" s="1">
        <v>9</v>
      </c>
      <c r="M881" s="8">
        <v>0</v>
      </c>
    </row>
    <row r="882" spans="1:13" hidden="1" x14ac:dyDescent="0.25">
      <c r="A882" s="7">
        <v>13</v>
      </c>
      <c r="B882" s="1" t="s">
        <v>34</v>
      </c>
      <c r="C882" s="1">
        <v>1.5</v>
      </c>
      <c r="D882" s="1" t="s">
        <v>41</v>
      </c>
      <c r="E882" s="1">
        <v>5.2</v>
      </c>
      <c r="F882" s="1">
        <v>0.8</v>
      </c>
      <c r="G882" s="1">
        <v>2.16</v>
      </c>
      <c r="H882" s="1">
        <v>0.9</v>
      </c>
      <c r="I882" s="1" t="s">
        <v>40</v>
      </c>
      <c r="J882" s="1">
        <v>10</v>
      </c>
      <c r="K882" s="1">
        <v>6</v>
      </c>
      <c r="L882" s="1">
        <v>8</v>
      </c>
      <c r="M882" s="8">
        <v>0</v>
      </c>
    </row>
    <row r="883" spans="1:13" hidden="1" x14ac:dyDescent="0.25">
      <c r="A883" s="7">
        <v>15</v>
      </c>
      <c r="B883" s="1" t="s">
        <v>34</v>
      </c>
      <c r="C883" s="1">
        <v>3.2</v>
      </c>
      <c r="D883" s="1" t="s">
        <v>35</v>
      </c>
      <c r="E883" s="1">
        <v>5.6</v>
      </c>
      <c r="F883" s="1">
        <v>0.7</v>
      </c>
      <c r="G883" s="1">
        <v>3.1</v>
      </c>
      <c r="H883" s="1">
        <v>1.5</v>
      </c>
      <c r="I883" s="1" t="s">
        <v>39</v>
      </c>
      <c r="J883" s="1">
        <v>6</v>
      </c>
      <c r="K883" s="1">
        <v>3</v>
      </c>
      <c r="L883" s="1">
        <v>1</v>
      </c>
      <c r="M883" s="8">
        <v>0</v>
      </c>
    </row>
    <row r="884" spans="1:13" hidden="1" x14ac:dyDescent="0.25">
      <c r="A884" s="7">
        <v>19</v>
      </c>
      <c r="B884" s="1" t="s">
        <v>37</v>
      </c>
      <c r="C884" s="1">
        <v>7.3</v>
      </c>
      <c r="D884" s="1" t="s">
        <v>41</v>
      </c>
      <c r="E884" s="1">
        <v>7.4</v>
      </c>
      <c r="F884" s="1">
        <v>1.5</v>
      </c>
      <c r="G884" s="1">
        <v>2.84</v>
      </c>
      <c r="H884" s="1">
        <v>1</v>
      </c>
      <c r="I884" s="1" t="s">
        <v>40</v>
      </c>
      <c r="J884" s="1">
        <v>9</v>
      </c>
      <c r="K884" s="1">
        <v>8</v>
      </c>
      <c r="L884" s="1">
        <v>5</v>
      </c>
      <c r="M884" s="8">
        <v>0</v>
      </c>
    </row>
    <row r="885" spans="1:13" hidden="1" x14ac:dyDescent="0.25">
      <c r="A885" s="7">
        <v>16</v>
      </c>
      <c r="B885" s="1" t="s">
        <v>34</v>
      </c>
      <c r="C885" s="1">
        <v>2</v>
      </c>
      <c r="D885" s="1" t="s">
        <v>35</v>
      </c>
      <c r="E885" s="1">
        <v>8.1999999999999993</v>
      </c>
      <c r="F885" s="1">
        <v>1</v>
      </c>
      <c r="G885" s="1">
        <v>3.15</v>
      </c>
      <c r="H885" s="1">
        <v>0.9</v>
      </c>
      <c r="I885" s="1" t="s">
        <v>40</v>
      </c>
      <c r="J885" s="1">
        <v>9</v>
      </c>
      <c r="K885" s="1">
        <v>7</v>
      </c>
      <c r="L885" s="1">
        <v>10</v>
      </c>
      <c r="M885" s="8">
        <v>0</v>
      </c>
    </row>
    <row r="886" spans="1:13" hidden="1" x14ac:dyDescent="0.25">
      <c r="A886" s="7">
        <v>19</v>
      </c>
      <c r="B886" s="1" t="s">
        <v>34</v>
      </c>
      <c r="C886" s="1">
        <v>2.5</v>
      </c>
      <c r="D886" s="1" t="s">
        <v>38</v>
      </c>
      <c r="E886" s="1">
        <v>7.1</v>
      </c>
      <c r="F886" s="1">
        <v>1.9</v>
      </c>
      <c r="G886" s="1">
        <v>2.35</v>
      </c>
      <c r="H886" s="1">
        <v>1.1000000000000001</v>
      </c>
      <c r="I886" s="1" t="s">
        <v>36</v>
      </c>
      <c r="J886" s="1">
        <v>4</v>
      </c>
      <c r="K886" s="1">
        <v>4</v>
      </c>
      <c r="L886" s="1">
        <v>8</v>
      </c>
      <c r="M886" s="8">
        <v>0</v>
      </c>
    </row>
    <row r="887" spans="1:13" x14ac:dyDescent="0.25">
      <c r="A887" s="7">
        <v>16</v>
      </c>
      <c r="B887" s="1" t="s">
        <v>37</v>
      </c>
      <c r="C887" s="1">
        <v>7.7</v>
      </c>
      <c r="D887" s="1" t="s">
        <v>35</v>
      </c>
      <c r="E887" s="1">
        <v>4.7</v>
      </c>
      <c r="F887" s="1">
        <v>2.9</v>
      </c>
      <c r="G887" s="1">
        <v>2.17</v>
      </c>
      <c r="H887" s="1">
        <v>1.2</v>
      </c>
      <c r="I887" s="1" t="s">
        <v>40</v>
      </c>
      <c r="J887" s="1">
        <v>5</v>
      </c>
      <c r="K887" s="1">
        <v>7</v>
      </c>
      <c r="L887" s="1">
        <v>6</v>
      </c>
      <c r="M887" s="8">
        <v>0</v>
      </c>
    </row>
    <row r="888" spans="1:13" hidden="1" x14ac:dyDescent="0.25">
      <c r="A888" s="7">
        <v>19</v>
      </c>
      <c r="B888" s="1" t="s">
        <v>37</v>
      </c>
      <c r="C888" s="1">
        <v>3.9</v>
      </c>
      <c r="D888" s="1" t="s">
        <v>41</v>
      </c>
      <c r="E888" s="1">
        <v>7.9</v>
      </c>
      <c r="F888" s="1">
        <v>2.1</v>
      </c>
      <c r="G888" s="1">
        <v>3.52</v>
      </c>
      <c r="H888" s="1">
        <v>0.6</v>
      </c>
      <c r="I888" s="1" t="s">
        <v>39</v>
      </c>
      <c r="J888" s="1">
        <v>3</v>
      </c>
      <c r="K888" s="1">
        <v>2</v>
      </c>
      <c r="L888" s="1">
        <v>4</v>
      </c>
      <c r="M888" s="8">
        <v>0</v>
      </c>
    </row>
    <row r="889" spans="1:13" hidden="1" x14ac:dyDescent="0.25">
      <c r="A889" s="7">
        <v>16</v>
      </c>
      <c r="B889" s="1" t="s">
        <v>37</v>
      </c>
      <c r="C889" s="1">
        <v>3.5</v>
      </c>
      <c r="D889" s="1" t="s">
        <v>38</v>
      </c>
      <c r="E889" s="1">
        <v>6.1</v>
      </c>
      <c r="F889" s="1">
        <v>2.7</v>
      </c>
      <c r="G889" s="1">
        <v>3.83</v>
      </c>
      <c r="H889" s="1">
        <v>0.1</v>
      </c>
      <c r="I889" s="1" t="s">
        <v>40</v>
      </c>
      <c r="J889" s="1">
        <v>4</v>
      </c>
      <c r="K889" s="1">
        <v>5</v>
      </c>
      <c r="L889" s="1">
        <v>10</v>
      </c>
      <c r="M889" s="8">
        <v>0</v>
      </c>
    </row>
    <row r="890" spans="1:13" hidden="1" x14ac:dyDescent="0.25">
      <c r="A890" s="7">
        <v>17</v>
      </c>
      <c r="B890" s="1" t="s">
        <v>34</v>
      </c>
      <c r="C890" s="1">
        <v>4.9000000000000004</v>
      </c>
      <c r="D890" s="1" t="s">
        <v>35</v>
      </c>
      <c r="E890" s="1">
        <v>6.4</v>
      </c>
      <c r="F890" s="1">
        <v>2.5</v>
      </c>
      <c r="G890" s="1">
        <v>2.64</v>
      </c>
      <c r="H890" s="1">
        <v>1.9</v>
      </c>
      <c r="I890" s="1" t="s">
        <v>40</v>
      </c>
      <c r="J890" s="1">
        <v>6</v>
      </c>
      <c r="K890" s="1">
        <v>2</v>
      </c>
      <c r="L890" s="1">
        <v>10</v>
      </c>
      <c r="M890" s="8">
        <v>0</v>
      </c>
    </row>
    <row r="891" spans="1:13" hidden="1" x14ac:dyDescent="0.25">
      <c r="A891" s="7">
        <v>14</v>
      </c>
      <c r="B891" s="1" t="s">
        <v>34</v>
      </c>
      <c r="C891" s="1">
        <v>3.4</v>
      </c>
      <c r="D891" s="1" t="s">
        <v>41</v>
      </c>
      <c r="E891" s="1">
        <v>5.8</v>
      </c>
      <c r="F891" s="1">
        <v>3</v>
      </c>
      <c r="G891" s="1">
        <v>3.32</v>
      </c>
      <c r="H891" s="1">
        <v>0.6</v>
      </c>
      <c r="I891" s="1" t="s">
        <v>40</v>
      </c>
      <c r="J891" s="1">
        <v>1</v>
      </c>
      <c r="K891" s="1">
        <v>4</v>
      </c>
      <c r="L891" s="1">
        <v>4</v>
      </c>
      <c r="M891" s="8">
        <v>0</v>
      </c>
    </row>
    <row r="892" spans="1:13" hidden="1" x14ac:dyDescent="0.25">
      <c r="A892" s="7">
        <v>18</v>
      </c>
      <c r="B892" s="1" t="s">
        <v>34</v>
      </c>
      <c r="C892" s="1">
        <v>2.5</v>
      </c>
      <c r="D892" s="1" t="s">
        <v>38</v>
      </c>
      <c r="E892" s="1">
        <v>4.5999999999999996</v>
      </c>
      <c r="F892" s="1">
        <v>2.2000000000000002</v>
      </c>
      <c r="G892" s="1">
        <v>2.0499999999999998</v>
      </c>
      <c r="H892" s="1">
        <v>0.7</v>
      </c>
      <c r="I892" s="1" t="s">
        <v>40</v>
      </c>
      <c r="J892" s="1">
        <v>9</v>
      </c>
      <c r="K892" s="1">
        <v>5</v>
      </c>
      <c r="L892" s="1">
        <v>10</v>
      </c>
      <c r="M892" s="8">
        <v>0</v>
      </c>
    </row>
    <row r="893" spans="1:13" hidden="1" x14ac:dyDescent="0.25">
      <c r="A893" s="7">
        <v>16</v>
      </c>
      <c r="B893" s="1" t="s">
        <v>34</v>
      </c>
      <c r="C893" s="1">
        <v>4.8</v>
      </c>
      <c r="D893" s="1" t="s">
        <v>41</v>
      </c>
      <c r="E893" s="1">
        <v>5.4</v>
      </c>
      <c r="F893" s="1">
        <v>0.9</v>
      </c>
      <c r="G893" s="1">
        <v>2.06</v>
      </c>
      <c r="H893" s="1">
        <v>1.9</v>
      </c>
      <c r="I893" s="1" t="s">
        <v>36</v>
      </c>
      <c r="J893" s="1">
        <v>8</v>
      </c>
      <c r="K893" s="1">
        <v>3</v>
      </c>
      <c r="L893" s="1">
        <v>2</v>
      </c>
      <c r="M893" s="8">
        <v>0</v>
      </c>
    </row>
    <row r="894" spans="1:13" hidden="1" x14ac:dyDescent="0.25">
      <c r="A894" s="7">
        <v>19</v>
      </c>
      <c r="B894" s="1" t="s">
        <v>34</v>
      </c>
      <c r="C894" s="1">
        <v>7.4</v>
      </c>
      <c r="D894" s="1" t="s">
        <v>38</v>
      </c>
      <c r="E894" s="1">
        <v>6.1</v>
      </c>
      <c r="F894" s="1">
        <v>1.1000000000000001</v>
      </c>
      <c r="G894" s="1">
        <v>2.15</v>
      </c>
      <c r="H894" s="1">
        <v>1.6</v>
      </c>
      <c r="I894" s="1" t="s">
        <v>39</v>
      </c>
      <c r="J894" s="1">
        <v>4</v>
      </c>
      <c r="K894" s="1">
        <v>4</v>
      </c>
      <c r="L894" s="1">
        <v>1</v>
      </c>
      <c r="M894" s="8">
        <v>0</v>
      </c>
    </row>
    <row r="895" spans="1:13" x14ac:dyDescent="0.25">
      <c r="A895" s="7">
        <v>16</v>
      </c>
      <c r="B895" s="1" t="s">
        <v>37</v>
      </c>
      <c r="C895" s="1">
        <v>2.1</v>
      </c>
      <c r="D895" s="1" t="s">
        <v>35</v>
      </c>
      <c r="E895" s="1">
        <v>4.8</v>
      </c>
      <c r="F895" s="1">
        <v>1.3</v>
      </c>
      <c r="G895" s="1">
        <v>2.29</v>
      </c>
      <c r="H895" s="1">
        <v>1.8</v>
      </c>
      <c r="I895" s="1" t="s">
        <v>39</v>
      </c>
      <c r="J895" s="1">
        <v>6</v>
      </c>
      <c r="K895" s="1">
        <v>9</v>
      </c>
      <c r="L895" s="1">
        <v>2</v>
      </c>
      <c r="M895" s="8">
        <v>0</v>
      </c>
    </row>
    <row r="896" spans="1:13" hidden="1" x14ac:dyDescent="0.25">
      <c r="A896" s="7">
        <v>19</v>
      </c>
      <c r="B896" s="1" t="s">
        <v>34</v>
      </c>
      <c r="C896" s="1">
        <v>2.1</v>
      </c>
      <c r="D896" s="1" t="s">
        <v>38</v>
      </c>
      <c r="E896" s="1">
        <v>6.8</v>
      </c>
      <c r="F896" s="1">
        <v>2.2000000000000002</v>
      </c>
      <c r="G896" s="1">
        <v>2.33</v>
      </c>
      <c r="H896" s="1">
        <v>1</v>
      </c>
      <c r="I896" s="1" t="s">
        <v>40</v>
      </c>
      <c r="J896" s="1">
        <v>7</v>
      </c>
      <c r="K896" s="1">
        <v>6</v>
      </c>
      <c r="L896" s="1">
        <v>7</v>
      </c>
      <c r="M896" s="8">
        <v>0</v>
      </c>
    </row>
    <row r="897" spans="1:13" hidden="1" x14ac:dyDescent="0.25">
      <c r="A897" s="7">
        <v>16</v>
      </c>
      <c r="B897" s="1" t="s">
        <v>34</v>
      </c>
      <c r="C897" s="1">
        <v>1.8</v>
      </c>
      <c r="D897" s="1" t="s">
        <v>35</v>
      </c>
      <c r="E897" s="1">
        <v>4.9000000000000004</v>
      </c>
      <c r="F897" s="1">
        <v>2.2999999999999998</v>
      </c>
      <c r="G897" s="1">
        <v>2.67</v>
      </c>
      <c r="H897" s="1">
        <v>1.4</v>
      </c>
      <c r="I897" s="1" t="s">
        <v>40</v>
      </c>
      <c r="J897" s="1">
        <v>3</v>
      </c>
      <c r="K897" s="1">
        <v>8</v>
      </c>
      <c r="L897" s="1">
        <v>6</v>
      </c>
      <c r="M897" s="8">
        <v>0</v>
      </c>
    </row>
    <row r="898" spans="1:13" hidden="1" x14ac:dyDescent="0.25">
      <c r="A898" s="7">
        <v>18</v>
      </c>
      <c r="B898" s="1" t="s">
        <v>34</v>
      </c>
      <c r="C898" s="1">
        <v>6.8</v>
      </c>
      <c r="D898" s="1" t="s">
        <v>41</v>
      </c>
      <c r="E898" s="1">
        <v>5.4</v>
      </c>
      <c r="F898" s="1">
        <v>0.9</v>
      </c>
      <c r="G898" s="1">
        <v>2.64</v>
      </c>
      <c r="H898" s="1">
        <v>0.3</v>
      </c>
      <c r="I898" s="1" t="s">
        <v>39</v>
      </c>
      <c r="J898" s="1">
        <v>9</v>
      </c>
      <c r="K898" s="1">
        <v>1</v>
      </c>
      <c r="L898" s="1">
        <v>8</v>
      </c>
      <c r="M898" s="8">
        <v>0</v>
      </c>
    </row>
    <row r="899" spans="1:13" hidden="1" x14ac:dyDescent="0.25">
      <c r="A899" s="7">
        <v>18</v>
      </c>
      <c r="B899" s="1" t="s">
        <v>34</v>
      </c>
      <c r="C899" s="1">
        <v>7.9</v>
      </c>
      <c r="D899" s="1" t="s">
        <v>35</v>
      </c>
      <c r="E899" s="1">
        <v>4.0999999999999996</v>
      </c>
      <c r="F899" s="1">
        <v>2.8</v>
      </c>
      <c r="G899" s="1">
        <v>3.25</v>
      </c>
      <c r="H899" s="1">
        <v>1.4</v>
      </c>
      <c r="I899" s="1" t="s">
        <v>39</v>
      </c>
      <c r="J899" s="1">
        <v>4</v>
      </c>
      <c r="K899" s="1">
        <v>2</v>
      </c>
      <c r="L899" s="1">
        <v>4</v>
      </c>
      <c r="M899" s="8">
        <v>0</v>
      </c>
    </row>
    <row r="900" spans="1:13" hidden="1" x14ac:dyDescent="0.25">
      <c r="A900" s="7">
        <v>15</v>
      </c>
      <c r="B900" s="1" t="s">
        <v>34</v>
      </c>
      <c r="C900" s="1">
        <v>7.6</v>
      </c>
      <c r="D900" s="1" t="s">
        <v>41</v>
      </c>
      <c r="E900" s="1">
        <v>6</v>
      </c>
      <c r="F900" s="1">
        <v>2.9</v>
      </c>
      <c r="G900" s="1">
        <v>2.72</v>
      </c>
      <c r="H900" s="1">
        <v>1.8</v>
      </c>
      <c r="I900" s="1" t="s">
        <v>39</v>
      </c>
      <c r="J900" s="1">
        <v>1</v>
      </c>
      <c r="K900" s="1">
        <v>9</v>
      </c>
      <c r="L900" s="1">
        <v>6</v>
      </c>
      <c r="M900" s="8">
        <v>0</v>
      </c>
    </row>
    <row r="901" spans="1:13" hidden="1" x14ac:dyDescent="0.25">
      <c r="A901" s="7">
        <v>18</v>
      </c>
      <c r="B901" s="1" t="s">
        <v>34</v>
      </c>
      <c r="C901" s="1">
        <v>6.1</v>
      </c>
      <c r="D901" s="1" t="s">
        <v>38</v>
      </c>
      <c r="E901" s="1">
        <v>5.8</v>
      </c>
      <c r="F901" s="1">
        <v>1.8</v>
      </c>
      <c r="G901" s="1">
        <v>3.59</v>
      </c>
      <c r="H901" s="1">
        <v>0.2</v>
      </c>
      <c r="I901" s="1" t="s">
        <v>36</v>
      </c>
      <c r="J901" s="1">
        <v>2</v>
      </c>
      <c r="K901" s="1">
        <v>5</v>
      </c>
      <c r="L901" s="1">
        <v>4</v>
      </c>
      <c r="M901" s="8">
        <v>0</v>
      </c>
    </row>
    <row r="902" spans="1:13" hidden="1" x14ac:dyDescent="0.25">
      <c r="A902" s="7">
        <v>16</v>
      </c>
      <c r="B902" s="1" t="s">
        <v>37</v>
      </c>
      <c r="C902" s="1">
        <v>1.4</v>
      </c>
      <c r="D902" s="1" t="s">
        <v>41</v>
      </c>
      <c r="E902" s="1">
        <v>5.7</v>
      </c>
      <c r="F902" s="1">
        <v>1.8</v>
      </c>
      <c r="G902" s="1">
        <v>2</v>
      </c>
      <c r="H902" s="1">
        <v>1.4</v>
      </c>
      <c r="I902" s="1" t="s">
        <v>36</v>
      </c>
      <c r="J902" s="1">
        <v>4</v>
      </c>
      <c r="K902" s="1">
        <v>8</v>
      </c>
      <c r="L902" s="1">
        <v>7</v>
      </c>
      <c r="M902" s="8">
        <v>0</v>
      </c>
    </row>
    <row r="903" spans="1:13" hidden="1" x14ac:dyDescent="0.25">
      <c r="A903" s="7">
        <v>19</v>
      </c>
      <c r="B903" s="1" t="s">
        <v>34</v>
      </c>
      <c r="C903" s="1">
        <v>6.3</v>
      </c>
      <c r="D903" s="1" t="s">
        <v>38</v>
      </c>
      <c r="E903" s="1">
        <v>5.7</v>
      </c>
      <c r="F903" s="1">
        <v>1.4</v>
      </c>
      <c r="G903" s="1">
        <v>2.0299999999999998</v>
      </c>
      <c r="H903" s="1">
        <v>1.1000000000000001</v>
      </c>
      <c r="I903" s="1" t="s">
        <v>36</v>
      </c>
      <c r="J903" s="1">
        <v>4</v>
      </c>
      <c r="K903" s="1">
        <v>6</v>
      </c>
      <c r="L903" s="1">
        <v>1</v>
      </c>
      <c r="M903" s="8">
        <v>0</v>
      </c>
    </row>
    <row r="904" spans="1:13" hidden="1" x14ac:dyDescent="0.25">
      <c r="A904" s="7">
        <v>13</v>
      </c>
      <c r="B904" s="1" t="s">
        <v>34</v>
      </c>
      <c r="C904" s="1">
        <v>1.3</v>
      </c>
      <c r="D904" s="1" t="s">
        <v>35</v>
      </c>
      <c r="E904" s="1">
        <v>5.7</v>
      </c>
      <c r="F904" s="1">
        <v>1.1000000000000001</v>
      </c>
      <c r="G904" s="1">
        <v>3.74</v>
      </c>
      <c r="H904" s="1">
        <v>1.3</v>
      </c>
      <c r="I904" s="1" t="s">
        <v>36</v>
      </c>
      <c r="J904" s="1">
        <v>9</v>
      </c>
      <c r="K904" s="1">
        <v>5</v>
      </c>
      <c r="L904" s="1">
        <v>10</v>
      </c>
      <c r="M904" s="8">
        <v>0</v>
      </c>
    </row>
    <row r="905" spans="1:13" hidden="1" x14ac:dyDescent="0.25">
      <c r="A905" s="7">
        <v>17</v>
      </c>
      <c r="B905" s="1" t="s">
        <v>34</v>
      </c>
      <c r="C905" s="1">
        <v>5.0999999999999996</v>
      </c>
      <c r="D905" s="1" t="s">
        <v>38</v>
      </c>
      <c r="E905" s="1">
        <v>5.0999999999999996</v>
      </c>
      <c r="F905" s="1">
        <v>2.9</v>
      </c>
      <c r="G905" s="1">
        <v>3.99</v>
      </c>
      <c r="H905" s="1">
        <v>0.6</v>
      </c>
      <c r="I905" s="1" t="s">
        <v>40</v>
      </c>
      <c r="J905" s="1">
        <v>4</v>
      </c>
      <c r="K905" s="1">
        <v>2</v>
      </c>
      <c r="L905" s="1">
        <v>9</v>
      </c>
      <c r="M905" s="8">
        <v>0</v>
      </c>
    </row>
    <row r="906" spans="1:13" x14ac:dyDescent="0.25">
      <c r="A906" s="7">
        <v>19</v>
      </c>
      <c r="B906" s="1" t="s">
        <v>37</v>
      </c>
      <c r="C906" s="1">
        <v>4</v>
      </c>
      <c r="D906" s="1" t="s">
        <v>35</v>
      </c>
      <c r="E906" s="1">
        <v>8.1999999999999993</v>
      </c>
      <c r="F906" s="1">
        <v>1.4</v>
      </c>
      <c r="G906" s="1">
        <v>3.63</v>
      </c>
      <c r="H906" s="1">
        <v>1.3</v>
      </c>
      <c r="I906" s="1" t="s">
        <v>36</v>
      </c>
      <c r="J906" s="1">
        <v>5</v>
      </c>
      <c r="K906" s="1">
        <v>3</v>
      </c>
      <c r="L906" s="1">
        <v>10</v>
      </c>
      <c r="M906" s="8">
        <v>0</v>
      </c>
    </row>
    <row r="907" spans="1:13" x14ac:dyDescent="0.25">
      <c r="A907" s="7">
        <v>17</v>
      </c>
      <c r="B907" s="1" t="s">
        <v>37</v>
      </c>
      <c r="C907" s="1">
        <v>7.6</v>
      </c>
      <c r="D907" s="1" t="s">
        <v>35</v>
      </c>
      <c r="E907" s="1">
        <v>7.3</v>
      </c>
      <c r="F907" s="1">
        <v>1.9</v>
      </c>
      <c r="G907" s="1">
        <v>3.05</v>
      </c>
      <c r="H907" s="1">
        <v>1.1000000000000001</v>
      </c>
      <c r="I907" s="1" t="s">
        <v>40</v>
      </c>
      <c r="J907" s="1">
        <v>10</v>
      </c>
      <c r="K907" s="1">
        <v>8</v>
      </c>
      <c r="L907" s="1">
        <v>1</v>
      </c>
      <c r="M907" s="8">
        <v>0</v>
      </c>
    </row>
    <row r="908" spans="1:13" hidden="1" x14ac:dyDescent="0.25">
      <c r="A908" s="7">
        <v>19</v>
      </c>
      <c r="B908" s="1" t="s">
        <v>34</v>
      </c>
      <c r="C908" s="1">
        <v>3.8</v>
      </c>
      <c r="D908" s="1" t="s">
        <v>38</v>
      </c>
      <c r="E908" s="1">
        <v>7.4</v>
      </c>
      <c r="F908" s="1">
        <v>2.6</v>
      </c>
      <c r="G908" s="1">
        <v>2.25</v>
      </c>
      <c r="H908" s="1">
        <v>0.5</v>
      </c>
      <c r="I908" s="1" t="s">
        <v>36</v>
      </c>
      <c r="J908" s="1">
        <v>7</v>
      </c>
      <c r="K908" s="1">
        <v>4</v>
      </c>
      <c r="L908" s="1">
        <v>8</v>
      </c>
      <c r="M908" s="8">
        <v>0</v>
      </c>
    </row>
    <row r="909" spans="1:13" hidden="1" x14ac:dyDescent="0.25">
      <c r="A909" s="7">
        <v>17</v>
      </c>
      <c r="B909" s="1" t="s">
        <v>34</v>
      </c>
      <c r="C909" s="1">
        <v>5.2</v>
      </c>
      <c r="D909" s="1" t="s">
        <v>35</v>
      </c>
      <c r="E909" s="1">
        <v>4.7</v>
      </c>
      <c r="F909" s="1">
        <v>2.4</v>
      </c>
      <c r="G909" s="1">
        <v>2.77</v>
      </c>
      <c r="H909" s="1">
        <v>1.3</v>
      </c>
      <c r="I909" s="1" t="s">
        <v>39</v>
      </c>
      <c r="J909" s="1">
        <v>9</v>
      </c>
      <c r="K909" s="1">
        <v>6</v>
      </c>
      <c r="L909" s="1">
        <v>9</v>
      </c>
      <c r="M909" s="8">
        <v>0</v>
      </c>
    </row>
    <row r="910" spans="1:13" hidden="1" x14ac:dyDescent="0.25">
      <c r="A910" s="7">
        <v>13</v>
      </c>
      <c r="B910" s="1" t="s">
        <v>34</v>
      </c>
      <c r="C910" s="1">
        <v>5</v>
      </c>
      <c r="D910" s="1" t="s">
        <v>41</v>
      </c>
      <c r="E910" s="1">
        <v>8.6</v>
      </c>
      <c r="F910" s="1">
        <v>0.7</v>
      </c>
      <c r="G910" s="1">
        <v>2.99</v>
      </c>
      <c r="H910" s="1">
        <v>1.5</v>
      </c>
      <c r="I910" s="1" t="s">
        <v>36</v>
      </c>
      <c r="J910" s="1">
        <v>3</v>
      </c>
      <c r="K910" s="1">
        <v>8</v>
      </c>
      <c r="L910" s="1">
        <v>3</v>
      </c>
      <c r="M910" s="8">
        <v>0</v>
      </c>
    </row>
    <row r="911" spans="1:13" hidden="1" x14ac:dyDescent="0.25">
      <c r="A911" s="7">
        <v>19</v>
      </c>
      <c r="B911" s="1" t="s">
        <v>37</v>
      </c>
      <c r="C911" s="1">
        <v>7.4</v>
      </c>
      <c r="D911" s="1" t="s">
        <v>41</v>
      </c>
      <c r="E911" s="1">
        <v>8.3000000000000007</v>
      </c>
      <c r="F911" s="1">
        <v>1.4</v>
      </c>
      <c r="G911" s="1">
        <v>3.64</v>
      </c>
      <c r="H911" s="1">
        <v>0.4</v>
      </c>
      <c r="I911" s="1" t="s">
        <v>36</v>
      </c>
      <c r="J911" s="1">
        <v>6</v>
      </c>
      <c r="K911" s="1">
        <v>9</v>
      </c>
      <c r="L911" s="1">
        <v>6</v>
      </c>
      <c r="M911" s="8">
        <v>0</v>
      </c>
    </row>
    <row r="912" spans="1:13" hidden="1" x14ac:dyDescent="0.25">
      <c r="A912" s="7">
        <v>16</v>
      </c>
      <c r="B912" s="1" t="s">
        <v>34</v>
      </c>
      <c r="C912" s="1">
        <v>6.1</v>
      </c>
      <c r="D912" s="1" t="s">
        <v>38</v>
      </c>
      <c r="E912" s="1">
        <v>6.8</v>
      </c>
      <c r="F912" s="1">
        <v>0.8</v>
      </c>
      <c r="G912" s="1">
        <v>2.61</v>
      </c>
      <c r="H912" s="1">
        <v>0.9</v>
      </c>
      <c r="I912" s="1" t="s">
        <v>36</v>
      </c>
      <c r="J912" s="1">
        <v>10</v>
      </c>
      <c r="K912" s="1">
        <v>10</v>
      </c>
      <c r="L912" s="1">
        <v>4</v>
      </c>
      <c r="M912" s="8">
        <v>0</v>
      </c>
    </row>
    <row r="913" spans="1:13" hidden="1" x14ac:dyDescent="0.25">
      <c r="A913" s="7">
        <v>13</v>
      </c>
      <c r="B913" s="1" t="s">
        <v>37</v>
      </c>
      <c r="C913" s="1">
        <v>7.4</v>
      </c>
      <c r="D913" s="1" t="s">
        <v>41</v>
      </c>
      <c r="E913" s="1">
        <v>6.7</v>
      </c>
      <c r="F913" s="1">
        <v>2</v>
      </c>
      <c r="G913" s="1">
        <v>2.42</v>
      </c>
      <c r="H913" s="1">
        <v>1.5</v>
      </c>
      <c r="I913" s="1" t="s">
        <v>36</v>
      </c>
      <c r="J913" s="1">
        <v>10</v>
      </c>
      <c r="K913" s="1">
        <v>1</v>
      </c>
      <c r="L913" s="1">
        <v>1</v>
      </c>
      <c r="M913" s="8">
        <v>0</v>
      </c>
    </row>
    <row r="914" spans="1:13" hidden="1" x14ac:dyDescent="0.25">
      <c r="A914" s="7">
        <v>16</v>
      </c>
      <c r="B914" s="1" t="s">
        <v>34</v>
      </c>
      <c r="C914" s="1">
        <v>3.5</v>
      </c>
      <c r="D914" s="1" t="s">
        <v>41</v>
      </c>
      <c r="E914" s="1">
        <v>4.4000000000000004</v>
      </c>
      <c r="F914" s="1">
        <v>1.5</v>
      </c>
      <c r="G914" s="1">
        <v>2.7</v>
      </c>
      <c r="H914" s="1">
        <v>0.8</v>
      </c>
      <c r="I914" s="1" t="s">
        <v>39</v>
      </c>
      <c r="J914" s="1">
        <v>2</v>
      </c>
      <c r="K914" s="1">
        <v>10</v>
      </c>
      <c r="L914" s="1">
        <v>8</v>
      </c>
      <c r="M914" s="8">
        <v>0</v>
      </c>
    </row>
    <row r="915" spans="1:13" hidden="1" x14ac:dyDescent="0.25">
      <c r="A915" s="7">
        <v>14</v>
      </c>
      <c r="B915" s="1" t="s">
        <v>34</v>
      </c>
      <c r="C915" s="1">
        <v>5.0999999999999996</v>
      </c>
      <c r="D915" s="1" t="s">
        <v>35</v>
      </c>
      <c r="E915" s="1">
        <v>6.3</v>
      </c>
      <c r="F915" s="1">
        <v>1.6</v>
      </c>
      <c r="G915" s="1">
        <v>2.7</v>
      </c>
      <c r="H915" s="1">
        <v>0.1</v>
      </c>
      <c r="I915" s="1" t="s">
        <v>40</v>
      </c>
      <c r="J915" s="1">
        <v>7</v>
      </c>
      <c r="K915" s="1">
        <v>2</v>
      </c>
      <c r="L915" s="1">
        <v>7</v>
      </c>
      <c r="M915" s="8">
        <v>0</v>
      </c>
    </row>
    <row r="916" spans="1:13" hidden="1" x14ac:dyDescent="0.25">
      <c r="A916" s="7">
        <v>17</v>
      </c>
      <c r="B916" s="1" t="s">
        <v>34</v>
      </c>
      <c r="C916" s="1">
        <v>4.8</v>
      </c>
      <c r="D916" s="1" t="s">
        <v>38</v>
      </c>
      <c r="E916" s="1">
        <v>6</v>
      </c>
      <c r="F916" s="1">
        <v>2.1</v>
      </c>
      <c r="G916" s="1">
        <v>2.39</v>
      </c>
      <c r="H916" s="1">
        <v>1.8</v>
      </c>
      <c r="I916" s="1" t="s">
        <v>39</v>
      </c>
      <c r="J916" s="1">
        <v>5</v>
      </c>
      <c r="K916" s="1">
        <v>8</v>
      </c>
      <c r="L916" s="1">
        <v>7</v>
      </c>
      <c r="M916" s="8">
        <v>0</v>
      </c>
    </row>
    <row r="917" spans="1:13" hidden="1" x14ac:dyDescent="0.25">
      <c r="A917" s="7">
        <v>14</v>
      </c>
      <c r="B917" s="1" t="s">
        <v>34</v>
      </c>
      <c r="C917" s="1">
        <v>7.5</v>
      </c>
      <c r="D917" s="1" t="s">
        <v>41</v>
      </c>
      <c r="E917" s="1">
        <v>7.6</v>
      </c>
      <c r="F917" s="1">
        <v>2.8</v>
      </c>
      <c r="G917" s="1">
        <v>3.1</v>
      </c>
      <c r="H917" s="1">
        <v>0.7</v>
      </c>
      <c r="I917" s="1" t="s">
        <v>40</v>
      </c>
      <c r="J917" s="1">
        <v>3</v>
      </c>
      <c r="K917" s="1">
        <v>1</v>
      </c>
      <c r="L917" s="1">
        <v>2</v>
      </c>
      <c r="M917" s="8">
        <v>0</v>
      </c>
    </row>
    <row r="918" spans="1:13" hidden="1" x14ac:dyDescent="0.25">
      <c r="A918" s="7">
        <v>19</v>
      </c>
      <c r="B918" s="1" t="s">
        <v>34</v>
      </c>
      <c r="C918" s="1">
        <v>4.7</v>
      </c>
      <c r="D918" s="1" t="s">
        <v>41</v>
      </c>
      <c r="E918" s="1">
        <v>8.6999999999999993</v>
      </c>
      <c r="F918" s="1">
        <v>2</v>
      </c>
      <c r="G918" s="1">
        <v>3.23</v>
      </c>
      <c r="H918" s="1">
        <v>1.7</v>
      </c>
      <c r="I918" s="1" t="s">
        <v>36</v>
      </c>
      <c r="J918" s="1">
        <v>4</v>
      </c>
      <c r="K918" s="1">
        <v>10</v>
      </c>
      <c r="L918" s="1">
        <v>3</v>
      </c>
      <c r="M918" s="8">
        <v>0</v>
      </c>
    </row>
    <row r="919" spans="1:13" hidden="1" x14ac:dyDescent="0.25">
      <c r="A919" s="7">
        <v>19</v>
      </c>
      <c r="B919" s="1" t="s">
        <v>34</v>
      </c>
      <c r="C919" s="1">
        <v>3.3</v>
      </c>
      <c r="D919" s="1" t="s">
        <v>38</v>
      </c>
      <c r="E919" s="1">
        <v>8.5</v>
      </c>
      <c r="F919" s="1">
        <v>1.2</v>
      </c>
      <c r="G919" s="1">
        <v>3.29</v>
      </c>
      <c r="H919" s="1">
        <v>0.5</v>
      </c>
      <c r="I919" s="1" t="s">
        <v>40</v>
      </c>
      <c r="J919" s="1">
        <v>6</v>
      </c>
      <c r="K919" s="1">
        <v>2</v>
      </c>
      <c r="L919" s="1">
        <v>9</v>
      </c>
      <c r="M919" s="8">
        <v>0</v>
      </c>
    </row>
    <row r="920" spans="1:13" x14ac:dyDescent="0.25">
      <c r="A920" s="7">
        <v>16</v>
      </c>
      <c r="B920" s="1" t="s">
        <v>37</v>
      </c>
      <c r="C920" s="1">
        <v>6.9</v>
      </c>
      <c r="D920" s="1" t="s">
        <v>35</v>
      </c>
      <c r="E920" s="1">
        <v>5.8</v>
      </c>
      <c r="F920" s="1">
        <v>0.6</v>
      </c>
      <c r="G920" s="1">
        <v>3.65</v>
      </c>
      <c r="H920" s="1">
        <v>0.5</v>
      </c>
      <c r="I920" s="1" t="s">
        <v>39</v>
      </c>
      <c r="J920" s="1">
        <v>10</v>
      </c>
      <c r="K920" s="1">
        <v>8</v>
      </c>
      <c r="L920" s="1">
        <v>10</v>
      </c>
      <c r="M920" s="8">
        <v>1</v>
      </c>
    </row>
    <row r="921" spans="1:13" hidden="1" x14ac:dyDescent="0.25">
      <c r="A921" s="7">
        <v>15</v>
      </c>
      <c r="B921" s="1" t="s">
        <v>34</v>
      </c>
      <c r="C921" s="1">
        <v>5.4</v>
      </c>
      <c r="D921" s="1" t="s">
        <v>35</v>
      </c>
      <c r="E921" s="1">
        <v>4.2</v>
      </c>
      <c r="F921" s="1">
        <v>1.5</v>
      </c>
      <c r="G921" s="1">
        <v>2.72</v>
      </c>
      <c r="H921" s="1">
        <v>0.4</v>
      </c>
      <c r="I921" s="1" t="s">
        <v>39</v>
      </c>
      <c r="J921" s="1">
        <v>1</v>
      </c>
      <c r="K921" s="1">
        <v>6</v>
      </c>
      <c r="L921" s="1">
        <v>5</v>
      </c>
      <c r="M921" s="8">
        <v>0</v>
      </c>
    </row>
    <row r="922" spans="1:13" hidden="1" x14ac:dyDescent="0.25">
      <c r="A922" s="7">
        <v>13</v>
      </c>
      <c r="B922" s="1" t="s">
        <v>37</v>
      </c>
      <c r="C922" s="1">
        <v>5.2</v>
      </c>
      <c r="D922" s="1" t="s">
        <v>41</v>
      </c>
      <c r="E922" s="1">
        <v>7.7</v>
      </c>
      <c r="F922" s="1">
        <v>2.7</v>
      </c>
      <c r="G922" s="1">
        <v>2.84</v>
      </c>
      <c r="H922" s="1">
        <v>0.8</v>
      </c>
      <c r="I922" s="1" t="s">
        <v>39</v>
      </c>
      <c r="J922" s="1">
        <v>2</v>
      </c>
      <c r="K922" s="1">
        <v>5</v>
      </c>
      <c r="L922" s="1">
        <v>5</v>
      </c>
      <c r="M922" s="8">
        <v>0</v>
      </c>
    </row>
    <row r="923" spans="1:13" x14ac:dyDescent="0.25">
      <c r="A923" s="7">
        <v>15</v>
      </c>
      <c r="B923" s="1" t="s">
        <v>37</v>
      </c>
      <c r="C923" s="1">
        <v>3.3</v>
      </c>
      <c r="D923" s="1" t="s">
        <v>35</v>
      </c>
      <c r="E923" s="1">
        <v>6.5</v>
      </c>
      <c r="F923" s="1">
        <v>1.3</v>
      </c>
      <c r="G923" s="1">
        <v>2.44</v>
      </c>
      <c r="H923" s="1">
        <v>0.3</v>
      </c>
      <c r="I923" s="1" t="s">
        <v>40</v>
      </c>
      <c r="J923" s="1">
        <v>7</v>
      </c>
      <c r="K923" s="1">
        <v>6</v>
      </c>
      <c r="L923" s="1">
        <v>7</v>
      </c>
      <c r="M923" s="8">
        <v>0</v>
      </c>
    </row>
    <row r="924" spans="1:13" hidden="1" x14ac:dyDescent="0.25">
      <c r="A924" s="7">
        <v>15</v>
      </c>
      <c r="B924" s="1" t="s">
        <v>37</v>
      </c>
      <c r="C924" s="1">
        <v>7.3</v>
      </c>
      <c r="D924" s="1" t="s">
        <v>41</v>
      </c>
      <c r="E924" s="1">
        <v>7.6</v>
      </c>
      <c r="F924" s="1">
        <v>1.9</v>
      </c>
      <c r="G924" s="1">
        <v>2.31</v>
      </c>
      <c r="H924" s="1">
        <v>0.8</v>
      </c>
      <c r="I924" s="1" t="s">
        <v>40</v>
      </c>
      <c r="J924" s="1">
        <v>8</v>
      </c>
      <c r="K924" s="1">
        <v>7</v>
      </c>
      <c r="L924" s="1">
        <v>5</v>
      </c>
      <c r="M924" s="8">
        <v>0</v>
      </c>
    </row>
    <row r="925" spans="1:13" hidden="1" x14ac:dyDescent="0.25">
      <c r="A925" s="7">
        <v>17</v>
      </c>
      <c r="B925" s="1" t="s">
        <v>34</v>
      </c>
      <c r="C925" s="1">
        <v>7.6</v>
      </c>
      <c r="D925" s="1" t="s">
        <v>41</v>
      </c>
      <c r="E925" s="1">
        <v>4.9000000000000004</v>
      </c>
      <c r="F925" s="1">
        <v>0.6</v>
      </c>
      <c r="G925" s="1">
        <v>2.56</v>
      </c>
      <c r="H925" s="1">
        <v>0.8</v>
      </c>
      <c r="I925" s="1" t="s">
        <v>36</v>
      </c>
      <c r="J925" s="1">
        <v>4</v>
      </c>
      <c r="K925" s="1">
        <v>1</v>
      </c>
      <c r="L925" s="1">
        <v>9</v>
      </c>
      <c r="M925" s="8">
        <v>0</v>
      </c>
    </row>
    <row r="926" spans="1:13" hidden="1" x14ac:dyDescent="0.25">
      <c r="A926" s="7">
        <v>17</v>
      </c>
      <c r="B926" s="1" t="s">
        <v>34</v>
      </c>
      <c r="C926" s="1">
        <v>1.7</v>
      </c>
      <c r="D926" s="1" t="s">
        <v>41</v>
      </c>
      <c r="E926" s="1">
        <v>7</v>
      </c>
      <c r="F926" s="1">
        <v>0.8</v>
      </c>
      <c r="G926" s="1">
        <v>3.39</v>
      </c>
      <c r="H926" s="1">
        <v>0.9</v>
      </c>
      <c r="I926" s="1" t="s">
        <v>39</v>
      </c>
      <c r="J926" s="1">
        <v>7</v>
      </c>
      <c r="K926" s="1">
        <v>7</v>
      </c>
      <c r="L926" s="1">
        <v>10</v>
      </c>
      <c r="M926" s="8">
        <v>0</v>
      </c>
    </row>
    <row r="927" spans="1:13" hidden="1" x14ac:dyDescent="0.25">
      <c r="A927" s="7">
        <v>18</v>
      </c>
      <c r="B927" s="1" t="s">
        <v>34</v>
      </c>
      <c r="C927" s="1">
        <v>1.5</v>
      </c>
      <c r="D927" s="1" t="s">
        <v>41</v>
      </c>
      <c r="E927" s="1">
        <v>5.6</v>
      </c>
      <c r="F927" s="1">
        <v>2.9</v>
      </c>
      <c r="G927" s="1">
        <v>2.57</v>
      </c>
      <c r="H927" s="1">
        <v>0.6</v>
      </c>
      <c r="I927" s="1" t="s">
        <v>39</v>
      </c>
      <c r="J927" s="1">
        <v>5</v>
      </c>
      <c r="K927" s="1">
        <v>8</v>
      </c>
      <c r="L927" s="1">
        <v>4</v>
      </c>
      <c r="M927" s="8">
        <v>0</v>
      </c>
    </row>
    <row r="928" spans="1:13" hidden="1" x14ac:dyDescent="0.25">
      <c r="A928" s="7">
        <v>17</v>
      </c>
      <c r="B928" s="1" t="s">
        <v>34</v>
      </c>
      <c r="C928" s="1">
        <v>7.3</v>
      </c>
      <c r="D928" s="1" t="s">
        <v>41</v>
      </c>
      <c r="E928" s="1">
        <v>8.5</v>
      </c>
      <c r="F928" s="1">
        <v>1.5</v>
      </c>
      <c r="G928" s="1">
        <v>3.54</v>
      </c>
      <c r="H928" s="1">
        <v>1.2</v>
      </c>
      <c r="I928" s="1" t="s">
        <v>36</v>
      </c>
      <c r="J928" s="1">
        <v>3</v>
      </c>
      <c r="K928" s="1">
        <v>3</v>
      </c>
      <c r="L928" s="1">
        <v>7</v>
      </c>
      <c r="M928" s="8">
        <v>0</v>
      </c>
    </row>
    <row r="929" spans="1:13" hidden="1" x14ac:dyDescent="0.25">
      <c r="A929" s="7">
        <v>14</v>
      </c>
      <c r="B929" s="1" t="s">
        <v>34</v>
      </c>
      <c r="C929" s="1">
        <v>2.8</v>
      </c>
      <c r="D929" s="1" t="s">
        <v>41</v>
      </c>
      <c r="E929" s="1">
        <v>6.2</v>
      </c>
      <c r="F929" s="1">
        <v>1.2</v>
      </c>
      <c r="G929" s="1">
        <v>3.21</v>
      </c>
      <c r="H929" s="1">
        <v>1</v>
      </c>
      <c r="I929" s="1" t="s">
        <v>36</v>
      </c>
      <c r="J929" s="1">
        <v>3</v>
      </c>
      <c r="K929" s="1">
        <v>10</v>
      </c>
      <c r="L929" s="1">
        <v>6</v>
      </c>
      <c r="M929" s="8">
        <v>0</v>
      </c>
    </row>
    <row r="930" spans="1:13" hidden="1" x14ac:dyDescent="0.25">
      <c r="A930" s="7">
        <v>15</v>
      </c>
      <c r="B930" s="1" t="s">
        <v>34</v>
      </c>
      <c r="C930" s="1">
        <v>1.2</v>
      </c>
      <c r="D930" s="1" t="s">
        <v>41</v>
      </c>
      <c r="E930" s="1">
        <v>7.4</v>
      </c>
      <c r="F930" s="1">
        <v>2.7</v>
      </c>
      <c r="G930" s="1">
        <v>2.92</v>
      </c>
      <c r="H930" s="1">
        <v>1.4</v>
      </c>
      <c r="I930" s="1" t="s">
        <v>36</v>
      </c>
      <c r="J930" s="1">
        <v>3</v>
      </c>
      <c r="K930" s="1">
        <v>7</v>
      </c>
      <c r="L930" s="1">
        <v>4</v>
      </c>
      <c r="M930" s="8">
        <v>0</v>
      </c>
    </row>
    <row r="931" spans="1:13" hidden="1" x14ac:dyDescent="0.25">
      <c r="A931" s="7">
        <v>16</v>
      </c>
      <c r="B931" s="1" t="s">
        <v>37</v>
      </c>
      <c r="C931" s="1">
        <v>2.5</v>
      </c>
      <c r="D931" s="1" t="s">
        <v>38</v>
      </c>
      <c r="E931" s="1">
        <v>8.9</v>
      </c>
      <c r="F931" s="1">
        <v>1.2</v>
      </c>
      <c r="G931" s="1">
        <v>3.33</v>
      </c>
      <c r="H931" s="1">
        <v>1.5</v>
      </c>
      <c r="I931" s="1" t="s">
        <v>39</v>
      </c>
      <c r="J931" s="1">
        <v>4</v>
      </c>
      <c r="K931" s="1">
        <v>4</v>
      </c>
      <c r="L931" s="1">
        <v>10</v>
      </c>
      <c r="M931" s="8">
        <v>0</v>
      </c>
    </row>
    <row r="932" spans="1:13" hidden="1" x14ac:dyDescent="0.25">
      <c r="A932" s="7">
        <v>17</v>
      </c>
      <c r="B932" s="1" t="s">
        <v>34</v>
      </c>
      <c r="C932" s="1">
        <v>4.8</v>
      </c>
      <c r="D932" s="1" t="s">
        <v>38</v>
      </c>
      <c r="E932" s="1">
        <v>5.6</v>
      </c>
      <c r="F932" s="1">
        <v>1.6</v>
      </c>
      <c r="G932" s="1">
        <v>2</v>
      </c>
      <c r="H932" s="1">
        <v>1.3</v>
      </c>
      <c r="I932" s="1" t="s">
        <v>36</v>
      </c>
      <c r="J932" s="1">
        <v>3</v>
      </c>
      <c r="K932" s="1">
        <v>8</v>
      </c>
      <c r="L932" s="1">
        <v>4</v>
      </c>
      <c r="M932" s="8">
        <v>0</v>
      </c>
    </row>
    <row r="933" spans="1:13" hidden="1" x14ac:dyDescent="0.25">
      <c r="A933" s="7">
        <v>18</v>
      </c>
      <c r="B933" s="1" t="s">
        <v>37</v>
      </c>
      <c r="C933" s="1">
        <v>6.4</v>
      </c>
      <c r="D933" s="1" t="s">
        <v>41</v>
      </c>
      <c r="E933" s="1">
        <v>4.2</v>
      </c>
      <c r="F933" s="1">
        <v>1.1000000000000001</v>
      </c>
      <c r="G933" s="1">
        <v>2.68</v>
      </c>
      <c r="H933" s="1">
        <v>0.3</v>
      </c>
      <c r="I933" s="1" t="s">
        <v>39</v>
      </c>
      <c r="J933" s="1">
        <v>10</v>
      </c>
      <c r="K933" s="1">
        <v>9</v>
      </c>
      <c r="L933" s="1">
        <v>4</v>
      </c>
      <c r="M933" s="8">
        <v>1</v>
      </c>
    </row>
    <row r="934" spans="1:13" x14ac:dyDescent="0.25">
      <c r="A934" s="7">
        <v>16</v>
      </c>
      <c r="B934" s="1" t="s">
        <v>37</v>
      </c>
      <c r="C934" s="1">
        <v>6.6</v>
      </c>
      <c r="D934" s="1" t="s">
        <v>35</v>
      </c>
      <c r="E934" s="1">
        <v>6.1</v>
      </c>
      <c r="F934" s="1">
        <v>1.7</v>
      </c>
      <c r="G934" s="1">
        <v>2.67</v>
      </c>
      <c r="H934" s="1">
        <v>1.8</v>
      </c>
      <c r="I934" s="1" t="s">
        <v>36</v>
      </c>
      <c r="J934" s="1">
        <v>10</v>
      </c>
      <c r="K934" s="1">
        <v>8</v>
      </c>
      <c r="L934" s="1">
        <v>2</v>
      </c>
      <c r="M934" s="8">
        <v>0</v>
      </c>
    </row>
    <row r="935" spans="1:13" hidden="1" x14ac:dyDescent="0.25">
      <c r="A935" s="7">
        <v>14</v>
      </c>
      <c r="B935" s="1" t="s">
        <v>37</v>
      </c>
      <c r="C935" s="1">
        <v>3.5</v>
      </c>
      <c r="D935" s="1" t="s">
        <v>41</v>
      </c>
      <c r="E935" s="1">
        <v>5.7</v>
      </c>
      <c r="F935" s="1">
        <v>2.4</v>
      </c>
      <c r="G935" s="1">
        <v>3.46</v>
      </c>
      <c r="H935" s="1">
        <v>0.9</v>
      </c>
      <c r="I935" s="1" t="s">
        <v>36</v>
      </c>
      <c r="J935" s="1">
        <v>8</v>
      </c>
      <c r="K935" s="1">
        <v>4</v>
      </c>
      <c r="L935" s="1">
        <v>10</v>
      </c>
      <c r="M935" s="8">
        <v>0</v>
      </c>
    </row>
    <row r="936" spans="1:13" hidden="1" x14ac:dyDescent="0.25">
      <c r="A936" s="7">
        <v>14</v>
      </c>
      <c r="B936" s="1" t="s">
        <v>37</v>
      </c>
      <c r="C936" s="1">
        <v>2.4</v>
      </c>
      <c r="D936" s="1" t="s">
        <v>38</v>
      </c>
      <c r="E936" s="1">
        <v>6.3</v>
      </c>
      <c r="F936" s="1">
        <v>2.8</v>
      </c>
      <c r="G936" s="1">
        <v>2.41</v>
      </c>
      <c r="H936" s="1">
        <v>0.7</v>
      </c>
      <c r="I936" s="1" t="s">
        <v>36</v>
      </c>
      <c r="J936" s="1">
        <v>9</v>
      </c>
      <c r="K936" s="1">
        <v>5</v>
      </c>
      <c r="L936" s="1">
        <v>2</v>
      </c>
      <c r="M936" s="8">
        <v>0</v>
      </c>
    </row>
    <row r="937" spans="1:13" hidden="1" x14ac:dyDescent="0.25">
      <c r="A937" s="7">
        <v>13</v>
      </c>
      <c r="B937" s="1" t="s">
        <v>34</v>
      </c>
      <c r="C937" s="1">
        <v>5.9</v>
      </c>
      <c r="D937" s="1" t="s">
        <v>35</v>
      </c>
      <c r="E937" s="1">
        <v>4.3</v>
      </c>
      <c r="F937" s="1">
        <v>0.8</v>
      </c>
      <c r="G937" s="1">
        <v>3.41</v>
      </c>
      <c r="H937" s="1">
        <v>1.1000000000000001</v>
      </c>
      <c r="I937" s="1" t="s">
        <v>40</v>
      </c>
      <c r="J937" s="1">
        <v>4</v>
      </c>
      <c r="K937" s="1">
        <v>3</v>
      </c>
      <c r="L937" s="1">
        <v>2</v>
      </c>
      <c r="M937" s="8">
        <v>0</v>
      </c>
    </row>
    <row r="938" spans="1:13" x14ac:dyDescent="0.25">
      <c r="A938" s="7">
        <v>19</v>
      </c>
      <c r="B938" s="1" t="s">
        <v>37</v>
      </c>
      <c r="C938" s="1">
        <v>7.4</v>
      </c>
      <c r="D938" s="1" t="s">
        <v>35</v>
      </c>
      <c r="E938" s="1">
        <v>5</v>
      </c>
      <c r="F938" s="1">
        <v>2</v>
      </c>
      <c r="G938" s="1">
        <v>2.68</v>
      </c>
      <c r="H938" s="1">
        <v>1.2</v>
      </c>
      <c r="I938" s="1" t="s">
        <v>36</v>
      </c>
      <c r="J938" s="1">
        <v>1</v>
      </c>
      <c r="K938" s="1">
        <v>6</v>
      </c>
      <c r="L938" s="1">
        <v>8</v>
      </c>
      <c r="M938" s="8">
        <v>0</v>
      </c>
    </row>
    <row r="939" spans="1:13" hidden="1" x14ac:dyDescent="0.25">
      <c r="A939" s="7">
        <v>15</v>
      </c>
      <c r="B939" s="1" t="s">
        <v>37</v>
      </c>
      <c r="C939" s="1">
        <v>4.5999999999999996</v>
      </c>
      <c r="D939" s="1" t="s">
        <v>38</v>
      </c>
      <c r="E939" s="1">
        <v>5.3</v>
      </c>
      <c r="F939" s="1">
        <v>3</v>
      </c>
      <c r="G939" s="1">
        <v>3.25</v>
      </c>
      <c r="H939" s="1">
        <v>0.2</v>
      </c>
      <c r="I939" s="1" t="s">
        <v>36</v>
      </c>
      <c r="J939" s="1">
        <v>1</v>
      </c>
      <c r="K939" s="1">
        <v>8</v>
      </c>
      <c r="L939" s="1">
        <v>7</v>
      </c>
      <c r="M939" s="8">
        <v>0</v>
      </c>
    </row>
    <row r="940" spans="1:13" hidden="1" x14ac:dyDescent="0.25">
      <c r="A940" s="7">
        <v>17</v>
      </c>
      <c r="B940" s="1" t="s">
        <v>34</v>
      </c>
      <c r="C940" s="1">
        <v>7.3</v>
      </c>
      <c r="D940" s="1" t="s">
        <v>35</v>
      </c>
      <c r="E940" s="1">
        <v>5.8</v>
      </c>
      <c r="F940" s="1">
        <v>2.9</v>
      </c>
      <c r="G940" s="1">
        <v>3.93</v>
      </c>
      <c r="H940" s="1">
        <v>0.9</v>
      </c>
      <c r="I940" s="1" t="s">
        <v>40</v>
      </c>
      <c r="J940" s="1">
        <v>6</v>
      </c>
      <c r="K940" s="1">
        <v>2</v>
      </c>
      <c r="L940" s="1">
        <v>9</v>
      </c>
      <c r="M940" s="8">
        <v>0</v>
      </c>
    </row>
    <row r="941" spans="1:13" hidden="1" x14ac:dyDescent="0.25">
      <c r="A941" s="7">
        <v>17</v>
      </c>
      <c r="B941" s="1" t="s">
        <v>37</v>
      </c>
      <c r="C941" s="1">
        <v>2.9</v>
      </c>
      <c r="D941" s="1" t="s">
        <v>38</v>
      </c>
      <c r="E941" s="1">
        <v>4.5</v>
      </c>
      <c r="F941" s="1">
        <v>0.9</v>
      </c>
      <c r="G941" s="1">
        <v>3.71</v>
      </c>
      <c r="H941" s="1">
        <v>0.1</v>
      </c>
      <c r="I941" s="1" t="s">
        <v>36</v>
      </c>
      <c r="J941" s="1">
        <v>1</v>
      </c>
      <c r="K941" s="1">
        <v>6</v>
      </c>
      <c r="L941" s="1">
        <v>4</v>
      </c>
      <c r="M941" s="8">
        <v>0</v>
      </c>
    </row>
    <row r="942" spans="1:13" hidden="1" x14ac:dyDescent="0.25">
      <c r="A942" s="7">
        <v>19</v>
      </c>
      <c r="B942" s="1" t="s">
        <v>34</v>
      </c>
      <c r="C942" s="1">
        <v>5.3</v>
      </c>
      <c r="D942" s="1" t="s">
        <v>38</v>
      </c>
      <c r="E942" s="1">
        <v>8.4</v>
      </c>
      <c r="F942" s="1">
        <v>0.6</v>
      </c>
      <c r="G942" s="1">
        <v>3.08</v>
      </c>
      <c r="H942" s="1">
        <v>0.4</v>
      </c>
      <c r="I942" s="1" t="s">
        <v>40</v>
      </c>
      <c r="J942" s="1">
        <v>9</v>
      </c>
      <c r="K942" s="1">
        <v>4</v>
      </c>
      <c r="L942" s="1">
        <v>6</v>
      </c>
      <c r="M942" s="8">
        <v>0</v>
      </c>
    </row>
    <row r="943" spans="1:13" hidden="1" x14ac:dyDescent="0.25">
      <c r="A943" s="7">
        <v>17</v>
      </c>
      <c r="B943" s="1" t="s">
        <v>37</v>
      </c>
      <c r="C943" s="1">
        <v>7.2</v>
      </c>
      <c r="D943" s="1" t="s">
        <v>38</v>
      </c>
      <c r="E943" s="1">
        <v>8.1999999999999993</v>
      </c>
      <c r="F943" s="1">
        <v>2.9</v>
      </c>
      <c r="G943" s="1">
        <v>3.69</v>
      </c>
      <c r="H943" s="1">
        <v>1</v>
      </c>
      <c r="I943" s="1" t="s">
        <v>39</v>
      </c>
      <c r="J943" s="1">
        <v>6</v>
      </c>
      <c r="K943" s="1">
        <v>2</v>
      </c>
      <c r="L943" s="1">
        <v>5</v>
      </c>
      <c r="M943" s="8">
        <v>0</v>
      </c>
    </row>
    <row r="944" spans="1:13" hidden="1" x14ac:dyDescent="0.25">
      <c r="A944" s="7">
        <v>15</v>
      </c>
      <c r="B944" s="1" t="s">
        <v>37</v>
      </c>
      <c r="C944" s="1">
        <v>2.6</v>
      </c>
      <c r="D944" s="1" t="s">
        <v>41</v>
      </c>
      <c r="E944" s="1">
        <v>7.9</v>
      </c>
      <c r="F944" s="1">
        <v>1.8</v>
      </c>
      <c r="G944" s="1">
        <v>3.91</v>
      </c>
      <c r="H944" s="1">
        <v>0.5</v>
      </c>
      <c r="I944" s="1" t="s">
        <v>40</v>
      </c>
      <c r="J944" s="1">
        <v>4</v>
      </c>
      <c r="K944" s="1">
        <v>5</v>
      </c>
      <c r="L944" s="1">
        <v>6</v>
      </c>
      <c r="M944" s="8">
        <v>0</v>
      </c>
    </row>
    <row r="945" spans="1:13" hidden="1" x14ac:dyDescent="0.25">
      <c r="A945" s="7">
        <v>15</v>
      </c>
      <c r="B945" s="1" t="s">
        <v>34</v>
      </c>
      <c r="C945" s="1">
        <v>3.6</v>
      </c>
      <c r="D945" s="1" t="s">
        <v>35</v>
      </c>
      <c r="E945" s="1">
        <v>4.8</v>
      </c>
      <c r="F945" s="1">
        <v>1</v>
      </c>
      <c r="G945" s="1">
        <v>3.71</v>
      </c>
      <c r="H945" s="1">
        <v>1.1000000000000001</v>
      </c>
      <c r="I945" s="1" t="s">
        <v>40</v>
      </c>
      <c r="J945" s="1">
        <v>5</v>
      </c>
      <c r="K945" s="1">
        <v>7</v>
      </c>
      <c r="L945" s="1">
        <v>4</v>
      </c>
      <c r="M945" s="8">
        <v>0</v>
      </c>
    </row>
    <row r="946" spans="1:13" hidden="1" x14ac:dyDescent="0.25">
      <c r="A946" s="7">
        <v>19</v>
      </c>
      <c r="B946" s="1" t="s">
        <v>34</v>
      </c>
      <c r="C946" s="1">
        <v>3.6</v>
      </c>
      <c r="D946" s="1" t="s">
        <v>35</v>
      </c>
      <c r="E946" s="1">
        <v>6.5</v>
      </c>
      <c r="F946" s="1">
        <v>1.1000000000000001</v>
      </c>
      <c r="G946" s="1">
        <v>3.65</v>
      </c>
      <c r="H946" s="1">
        <v>1.1000000000000001</v>
      </c>
      <c r="I946" s="1" t="s">
        <v>36</v>
      </c>
      <c r="J946" s="1">
        <v>5</v>
      </c>
      <c r="K946" s="1">
        <v>9</v>
      </c>
      <c r="L946" s="1">
        <v>10</v>
      </c>
      <c r="M946" s="8">
        <v>0</v>
      </c>
    </row>
    <row r="947" spans="1:13" x14ac:dyDescent="0.25">
      <c r="A947" s="7">
        <v>15</v>
      </c>
      <c r="B947" s="1" t="s">
        <v>37</v>
      </c>
      <c r="C947" s="1">
        <v>1.8</v>
      </c>
      <c r="D947" s="1" t="s">
        <v>35</v>
      </c>
      <c r="E947" s="1">
        <v>5.5</v>
      </c>
      <c r="F947" s="1">
        <v>1.6</v>
      </c>
      <c r="G947" s="1">
        <v>3.29</v>
      </c>
      <c r="H947" s="1">
        <v>1.3</v>
      </c>
      <c r="I947" s="1" t="s">
        <v>40</v>
      </c>
      <c r="J947" s="1">
        <v>6</v>
      </c>
      <c r="K947" s="1">
        <v>5</v>
      </c>
      <c r="L947" s="1">
        <v>9</v>
      </c>
      <c r="M947" s="8">
        <v>0</v>
      </c>
    </row>
    <row r="948" spans="1:13" x14ac:dyDescent="0.25">
      <c r="A948" s="7">
        <v>14</v>
      </c>
      <c r="B948" s="1" t="s">
        <v>37</v>
      </c>
      <c r="C948" s="1">
        <v>1.8</v>
      </c>
      <c r="D948" s="1" t="s">
        <v>35</v>
      </c>
      <c r="E948" s="1">
        <v>7.6</v>
      </c>
      <c r="F948" s="1">
        <v>1.2</v>
      </c>
      <c r="G948" s="1">
        <v>2.84</v>
      </c>
      <c r="H948" s="1">
        <v>1.1000000000000001</v>
      </c>
      <c r="I948" s="1" t="s">
        <v>39</v>
      </c>
      <c r="J948" s="1">
        <v>10</v>
      </c>
      <c r="K948" s="1">
        <v>1</v>
      </c>
      <c r="L948" s="1">
        <v>3</v>
      </c>
      <c r="M948" s="8">
        <v>0</v>
      </c>
    </row>
    <row r="949" spans="1:13" hidden="1" x14ac:dyDescent="0.25">
      <c r="A949" s="7">
        <v>15</v>
      </c>
      <c r="B949" s="1" t="s">
        <v>37</v>
      </c>
      <c r="C949" s="1">
        <v>7.4</v>
      </c>
      <c r="D949" s="1" t="s">
        <v>41</v>
      </c>
      <c r="E949" s="1">
        <v>8.4</v>
      </c>
      <c r="F949" s="1">
        <v>1.9</v>
      </c>
      <c r="G949" s="1">
        <v>3.73</v>
      </c>
      <c r="H949" s="1">
        <v>0.8</v>
      </c>
      <c r="I949" s="1" t="s">
        <v>39</v>
      </c>
      <c r="J949" s="1">
        <v>9</v>
      </c>
      <c r="K949" s="1">
        <v>9</v>
      </c>
      <c r="L949" s="1">
        <v>4</v>
      </c>
      <c r="M949" s="8">
        <v>0</v>
      </c>
    </row>
    <row r="950" spans="1:13" hidden="1" x14ac:dyDescent="0.25">
      <c r="A950" s="7">
        <v>15</v>
      </c>
      <c r="B950" s="1" t="s">
        <v>34</v>
      </c>
      <c r="C950" s="1">
        <v>4.8</v>
      </c>
      <c r="D950" s="1" t="s">
        <v>41</v>
      </c>
      <c r="E950" s="1">
        <v>4.3</v>
      </c>
      <c r="F950" s="1">
        <v>2.2000000000000002</v>
      </c>
      <c r="G950" s="1">
        <v>2.5</v>
      </c>
      <c r="H950" s="1">
        <v>0</v>
      </c>
      <c r="I950" s="1" t="s">
        <v>40</v>
      </c>
      <c r="J950" s="1">
        <v>4</v>
      </c>
      <c r="K950" s="1">
        <v>1</v>
      </c>
      <c r="L950" s="1">
        <v>4</v>
      </c>
      <c r="M950" s="8">
        <v>0</v>
      </c>
    </row>
    <row r="951" spans="1:13" hidden="1" x14ac:dyDescent="0.25">
      <c r="A951" s="7">
        <v>18</v>
      </c>
      <c r="B951" s="1" t="s">
        <v>34</v>
      </c>
      <c r="C951" s="1">
        <v>2.4</v>
      </c>
      <c r="D951" s="1" t="s">
        <v>41</v>
      </c>
      <c r="E951" s="1">
        <v>6.8</v>
      </c>
      <c r="F951" s="1">
        <v>1</v>
      </c>
      <c r="G951" s="1">
        <v>2.86</v>
      </c>
      <c r="H951" s="1">
        <v>1.5</v>
      </c>
      <c r="I951" s="1" t="s">
        <v>39</v>
      </c>
      <c r="J951" s="1">
        <v>9</v>
      </c>
      <c r="K951" s="1">
        <v>10</v>
      </c>
      <c r="L951" s="1">
        <v>8</v>
      </c>
      <c r="M951" s="8">
        <v>0</v>
      </c>
    </row>
    <row r="952" spans="1:13" hidden="1" x14ac:dyDescent="0.25">
      <c r="A952" s="7">
        <v>15</v>
      </c>
      <c r="B952" s="1" t="s">
        <v>34</v>
      </c>
      <c r="C952" s="1">
        <v>5.4</v>
      </c>
      <c r="D952" s="1" t="s">
        <v>38</v>
      </c>
      <c r="E952" s="1">
        <v>5.2</v>
      </c>
      <c r="F952" s="1">
        <v>0.6</v>
      </c>
      <c r="G952" s="1">
        <v>3.65</v>
      </c>
      <c r="H952" s="1">
        <v>1.5</v>
      </c>
      <c r="I952" s="1" t="s">
        <v>36</v>
      </c>
      <c r="J952" s="1">
        <v>7</v>
      </c>
      <c r="K952" s="1">
        <v>9</v>
      </c>
      <c r="L952" s="1">
        <v>10</v>
      </c>
      <c r="M952" s="8">
        <v>1</v>
      </c>
    </row>
    <row r="953" spans="1:13" hidden="1" x14ac:dyDescent="0.25">
      <c r="A953" s="7">
        <v>17</v>
      </c>
      <c r="B953" s="1" t="s">
        <v>37</v>
      </c>
      <c r="C953" s="1">
        <v>3.5</v>
      </c>
      <c r="D953" s="1" t="s">
        <v>41</v>
      </c>
      <c r="E953" s="1">
        <v>8.5</v>
      </c>
      <c r="F953" s="1">
        <v>2.2000000000000002</v>
      </c>
      <c r="G953" s="1">
        <v>2.11</v>
      </c>
      <c r="H953" s="1">
        <v>1.3</v>
      </c>
      <c r="I953" s="1" t="s">
        <v>40</v>
      </c>
      <c r="J953" s="1">
        <v>8</v>
      </c>
      <c r="K953" s="1">
        <v>8</v>
      </c>
      <c r="L953" s="1">
        <v>2</v>
      </c>
      <c r="M953" s="8">
        <v>0</v>
      </c>
    </row>
    <row r="954" spans="1:13" x14ac:dyDescent="0.25">
      <c r="A954" s="7">
        <v>18</v>
      </c>
      <c r="B954" s="1" t="s">
        <v>37</v>
      </c>
      <c r="C954" s="1">
        <v>3</v>
      </c>
      <c r="D954" s="1" t="s">
        <v>35</v>
      </c>
      <c r="E954" s="1">
        <v>5</v>
      </c>
      <c r="F954" s="1">
        <v>2</v>
      </c>
      <c r="G954" s="1">
        <v>2.4500000000000002</v>
      </c>
      <c r="H954" s="1">
        <v>1.2</v>
      </c>
      <c r="I954" s="1" t="s">
        <v>40</v>
      </c>
      <c r="J954" s="1">
        <v>1</v>
      </c>
      <c r="K954" s="1">
        <v>10</v>
      </c>
      <c r="L954" s="1">
        <v>7</v>
      </c>
      <c r="M954" s="8">
        <v>0</v>
      </c>
    </row>
    <row r="955" spans="1:13" hidden="1" x14ac:dyDescent="0.25">
      <c r="A955" s="7">
        <v>13</v>
      </c>
      <c r="B955" s="1" t="s">
        <v>37</v>
      </c>
      <c r="C955" s="1">
        <v>3.3</v>
      </c>
      <c r="D955" s="1" t="s">
        <v>41</v>
      </c>
      <c r="E955" s="1">
        <v>7.4</v>
      </c>
      <c r="F955" s="1">
        <v>0.9</v>
      </c>
      <c r="G955" s="1">
        <v>2.5299999999999998</v>
      </c>
      <c r="H955" s="1">
        <v>0.2</v>
      </c>
      <c r="I955" s="1" t="s">
        <v>40</v>
      </c>
      <c r="J955" s="1">
        <v>4</v>
      </c>
      <c r="K955" s="1">
        <v>10</v>
      </c>
      <c r="L955" s="1">
        <v>6</v>
      </c>
      <c r="M955" s="8">
        <v>0</v>
      </c>
    </row>
    <row r="956" spans="1:13" hidden="1" x14ac:dyDescent="0.25">
      <c r="A956" s="7">
        <v>19</v>
      </c>
      <c r="B956" s="1" t="s">
        <v>34</v>
      </c>
      <c r="C956" s="1">
        <v>5.5</v>
      </c>
      <c r="D956" s="1" t="s">
        <v>38</v>
      </c>
      <c r="E956" s="1">
        <v>5.0999999999999996</v>
      </c>
      <c r="F956" s="1">
        <v>2.7</v>
      </c>
      <c r="G956" s="1">
        <v>2.56</v>
      </c>
      <c r="H956" s="1">
        <v>1.4</v>
      </c>
      <c r="I956" s="1" t="s">
        <v>36</v>
      </c>
      <c r="J956" s="1">
        <v>2</v>
      </c>
      <c r="K956" s="1">
        <v>3</v>
      </c>
      <c r="L956" s="1">
        <v>7</v>
      </c>
      <c r="M956" s="8">
        <v>0</v>
      </c>
    </row>
    <row r="957" spans="1:13" hidden="1" x14ac:dyDescent="0.25">
      <c r="A957" s="7">
        <v>15</v>
      </c>
      <c r="B957" s="1" t="s">
        <v>34</v>
      </c>
      <c r="C957" s="1">
        <v>3.8</v>
      </c>
      <c r="D957" s="1" t="s">
        <v>41</v>
      </c>
      <c r="E957" s="1">
        <v>8.3000000000000007</v>
      </c>
      <c r="F957" s="1">
        <v>2.6</v>
      </c>
      <c r="G957" s="1">
        <v>3.19</v>
      </c>
      <c r="H957" s="1">
        <v>2</v>
      </c>
      <c r="I957" s="1" t="s">
        <v>40</v>
      </c>
      <c r="J957" s="1">
        <v>1</v>
      </c>
      <c r="K957" s="1">
        <v>2</v>
      </c>
      <c r="L957" s="1">
        <v>2</v>
      </c>
      <c r="M957" s="8">
        <v>0</v>
      </c>
    </row>
    <row r="958" spans="1:13" hidden="1" x14ac:dyDescent="0.25">
      <c r="A958" s="7">
        <v>17</v>
      </c>
      <c r="B958" s="1" t="s">
        <v>34</v>
      </c>
      <c r="C958" s="1">
        <v>5.7</v>
      </c>
      <c r="D958" s="1" t="s">
        <v>38</v>
      </c>
      <c r="E958" s="1">
        <v>8.6999999999999993</v>
      </c>
      <c r="F958" s="1">
        <v>2</v>
      </c>
      <c r="G958" s="1">
        <v>3.14</v>
      </c>
      <c r="H958" s="1">
        <v>1.7</v>
      </c>
      <c r="I958" s="1" t="s">
        <v>36</v>
      </c>
      <c r="J958" s="1">
        <v>1</v>
      </c>
      <c r="K958" s="1">
        <v>9</v>
      </c>
      <c r="L958" s="1">
        <v>8</v>
      </c>
      <c r="M958" s="8">
        <v>0</v>
      </c>
    </row>
    <row r="959" spans="1:13" hidden="1" x14ac:dyDescent="0.25">
      <c r="A959" s="7">
        <v>13</v>
      </c>
      <c r="B959" s="1" t="s">
        <v>37</v>
      </c>
      <c r="C959" s="1">
        <v>4.7</v>
      </c>
      <c r="D959" s="1" t="s">
        <v>38</v>
      </c>
      <c r="E959" s="1">
        <v>8</v>
      </c>
      <c r="F959" s="1">
        <v>1.1000000000000001</v>
      </c>
      <c r="G959" s="1">
        <v>2.37</v>
      </c>
      <c r="H959" s="1">
        <v>0.2</v>
      </c>
      <c r="I959" s="1" t="s">
        <v>36</v>
      </c>
      <c r="J959" s="1">
        <v>5</v>
      </c>
      <c r="K959" s="1">
        <v>10</v>
      </c>
      <c r="L959" s="1">
        <v>6</v>
      </c>
      <c r="M959" s="8">
        <v>0</v>
      </c>
    </row>
    <row r="960" spans="1:13" x14ac:dyDescent="0.25">
      <c r="A960" s="7">
        <v>17</v>
      </c>
      <c r="B960" s="1" t="s">
        <v>37</v>
      </c>
      <c r="C960" s="1">
        <v>4</v>
      </c>
      <c r="D960" s="1" t="s">
        <v>35</v>
      </c>
      <c r="E960" s="1">
        <v>6.7</v>
      </c>
      <c r="F960" s="1">
        <v>0.6</v>
      </c>
      <c r="G960" s="1">
        <v>2.5099999999999998</v>
      </c>
      <c r="H960" s="1">
        <v>1.5</v>
      </c>
      <c r="I960" s="1" t="s">
        <v>39</v>
      </c>
      <c r="J960" s="1">
        <v>9</v>
      </c>
      <c r="K960" s="1">
        <v>8</v>
      </c>
      <c r="L960" s="1">
        <v>5</v>
      </c>
      <c r="M960" s="8">
        <v>0</v>
      </c>
    </row>
    <row r="961" spans="1:13" hidden="1" x14ac:dyDescent="0.25">
      <c r="A961" s="7">
        <v>16</v>
      </c>
      <c r="B961" s="1" t="s">
        <v>34</v>
      </c>
      <c r="C961" s="1">
        <v>5.3</v>
      </c>
      <c r="D961" s="1" t="s">
        <v>38</v>
      </c>
      <c r="E961" s="1">
        <v>6.8</v>
      </c>
      <c r="F961" s="1">
        <v>0.7</v>
      </c>
      <c r="G961" s="1">
        <v>3.9</v>
      </c>
      <c r="H961" s="1">
        <v>1.5</v>
      </c>
      <c r="I961" s="1" t="s">
        <v>36</v>
      </c>
      <c r="J961" s="1">
        <v>5</v>
      </c>
      <c r="K961" s="1">
        <v>8</v>
      </c>
      <c r="L961" s="1">
        <v>3</v>
      </c>
      <c r="M961" s="8">
        <v>0</v>
      </c>
    </row>
    <row r="962" spans="1:13" hidden="1" x14ac:dyDescent="0.25">
      <c r="A962" s="7">
        <v>17</v>
      </c>
      <c r="B962" s="1" t="s">
        <v>34</v>
      </c>
      <c r="C962" s="1">
        <v>3.8</v>
      </c>
      <c r="D962" s="1" t="s">
        <v>35</v>
      </c>
      <c r="E962" s="1">
        <v>4.7</v>
      </c>
      <c r="F962" s="1">
        <v>1.2</v>
      </c>
      <c r="G962" s="1">
        <v>3.7</v>
      </c>
      <c r="H962" s="1">
        <v>1.4</v>
      </c>
      <c r="I962" s="1" t="s">
        <v>39</v>
      </c>
      <c r="J962" s="1">
        <v>2</v>
      </c>
      <c r="K962" s="1">
        <v>2</v>
      </c>
      <c r="L962" s="1">
        <v>5</v>
      </c>
      <c r="M962" s="8">
        <v>0</v>
      </c>
    </row>
    <row r="963" spans="1:13" hidden="1" x14ac:dyDescent="0.25">
      <c r="A963" s="7">
        <v>16</v>
      </c>
      <c r="B963" s="1" t="s">
        <v>37</v>
      </c>
      <c r="C963" s="1">
        <v>6</v>
      </c>
      <c r="D963" s="1" t="s">
        <v>41</v>
      </c>
      <c r="E963" s="1">
        <v>4.0999999999999996</v>
      </c>
      <c r="F963" s="1">
        <v>2.4</v>
      </c>
      <c r="G963" s="1">
        <v>2.61</v>
      </c>
      <c r="H963" s="1">
        <v>1.1000000000000001</v>
      </c>
      <c r="I963" s="1" t="s">
        <v>39</v>
      </c>
      <c r="J963" s="1">
        <v>1</v>
      </c>
      <c r="K963" s="1">
        <v>6</v>
      </c>
      <c r="L963" s="1">
        <v>3</v>
      </c>
      <c r="M963" s="8">
        <v>0</v>
      </c>
    </row>
    <row r="964" spans="1:13" hidden="1" x14ac:dyDescent="0.25">
      <c r="A964" s="7">
        <v>15</v>
      </c>
      <c r="B964" s="1" t="s">
        <v>34</v>
      </c>
      <c r="C964" s="1">
        <v>2.2000000000000002</v>
      </c>
      <c r="D964" s="1" t="s">
        <v>41</v>
      </c>
      <c r="E964" s="1">
        <v>4.5</v>
      </c>
      <c r="F964" s="1">
        <v>1.3</v>
      </c>
      <c r="G964" s="1">
        <v>2.63</v>
      </c>
      <c r="H964" s="1">
        <v>1.7</v>
      </c>
      <c r="I964" s="1" t="s">
        <v>36</v>
      </c>
      <c r="J964" s="1">
        <v>10</v>
      </c>
      <c r="K964" s="1">
        <v>2</v>
      </c>
      <c r="L964" s="1">
        <v>6</v>
      </c>
      <c r="M964" s="8">
        <v>0</v>
      </c>
    </row>
    <row r="965" spans="1:13" hidden="1" x14ac:dyDescent="0.25">
      <c r="A965" s="7">
        <v>18</v>
      </c>
      <c r="B965" s="1" t="s">
        <v>34</v>
      </c>
      <c r="C965" s="1">
        <v>4.3</v>
      </c>
      <c r="D965" s="1" t="s">
        <v>38</v>
      </c>
      <c r="E965" s="1">
        <v>8.4</v>
      </c>
      <c r="F965" s="1">
        <v>2.1</v>
      </c>
      <c r="G965" s="1">
        <v>2.69</v>
      </c>
      <c r="H965" s="1">
        <v>0.2</v>
      </c>
      <c r="I965" s="1" t="s">
        <v>36</v>
      </c>
      <c r="J965" s="1">
        <v>1</v>
      </c>
      <c r="K965" s="1">
        <v>10</v>
      </c>
      <c r="L965" s="1">
        <v>8</v>
      </c>
      <c r="M965" s="8">
        <v>0</v>
      </c>
    </row>
    <row r="966" spans="1:13" hidden="1" x14ac:dyDescent="0.25">
      <c r="A966" s="7">
        <v>19</v>
      </c>
      <c r="B966" s="1" t="s">
        <v>37</v>
      </c>
      <c r="C966" s="1">
        <v>7.5</v>
      </c>
      <c r="D966" s="1" t="s">
        <v>38</v>
      </c>
      <c r="E966" s="1">
        <v>4.5</v>
      </c>
      <c r="F966" s="1">
        <v>2.7</v>
      </c>
      <c r="G966" s="1">
        <v>2.41</v>
      </c>
      <c r="H966" s="1">
        <v>1</v>
      </c>
      <c r="I966" s="1" t="s">
        <v>39</v>
      </c>
      <c r="J966" s="1">
        <v>3</v>
      </c>
      <c r="K966" s="1">
        <v>2</v>
      </c>
      <c r="L966" s="1">
        <v>6</v>
      </c>
      <c r="M966" s="8">
        <v>0</v>
      </c>
    </row>
    <row r="967" spans="1:13" hidden="1" x14ac:dyDescent="0.25">
      <c r="A967" s="7">
        <v>14</v>
      </c>
      <c r="B967" s="1" t="s">
        <v>34</v>
      </c>
      <c r="C967" s="1">
        <v>5.3</v>
      </c>
      <c r="D967" s="1" t="s">
        <v>35</v>
      </c>
      <c r="E967" s="1">
        <v>6.8</v>
      </c>
      <c r="F967" s="1">
        <v>2.9</v>
      </c>
      <c r="G967" s="1">
        <v>2.1800000000000002</v>
      </c>
      <c r="H967" s="1">
        <v>0.8</v>
      </c>
      <c r="I967" s="1" t="s">
        <v>40</v>
      </c>
      <c r="J967" s="1">
        <v>10</v>
      </c>
      <c r="K967" s="1">
        <v>1</v>
      </c>
      <c r="L967" s="1">
        <v>6</v>
      </c>
      <c r="M967" s="8">
        <v>0</v>
      </c>
    </row>
    <row r="968" spans="1:13" x14ac:dyDescent="0.25">
      <c r="A968" s="7">
        <v>14</v>
      </c>
      <c r="B968" s="1" t="s">
        <v>37</v>
      </c>
      <c r="C968" s="1">
        <v>7</v>
      </c>
      <c r="D968" s="1" t="s">
        <v>35</v>
      </c>
      <c r="E968" s="1">
        <v>6.9</v>
      </c>
      <c r="F968" s="1">
        <v>2.1</v>
      </c>
      <c r="G968" s="1">
        <v>3.42</v>
      </c>
      <c r="H968" s="1">
        <v>1.1000000000000001</v>
      </c>
      <c r="I968" s="1" t="s">
        <v>39</v>
      </c>
      <c r="J968" s="1">
        <v>10</v>
      </c>
      <c r="K968" s="1">
        <v>3</v>
      </c>
      <c r="L968" s="1">
        <v>6</v>
      </c>
      <c r="M968" s="8">
        <v>0</v>
      </c>
    </row>
    <row r="969" spans="1:13" hidden="1" x14ac:dyDescent="0.25">
      <c r="A969" s="7">
        <v>16</v>
      </c>
      <c r="B969" s="1" t="s">
        <v>37</v>
      </c>
      <c r="C969" s="1">
        <v>2.1</v>
      </c>
      <c r="D969" s="1" t="s">
        <v>41</v>
      </c>
      <c r="E969" s="1">
        <v>4.5999999999999996</v>
      </c>
      <c r="F969" s="1">
        <v>2</v>
      </c>
      <c r="G969" s="1">
        <v>2.5499999999999998</v>
      </c>
      <c r="H969" s="1">
        <v>1.8</v>
      </c>
      <c r="I969" s="1" t="s">
        <v>39</v>
      </c>
      <c r="J969" s="1">
        <v>5</v>
      </c>
      <c r="K969" s="1">
        <v>4</v>
      </c>
      <c r="L969" s="1">
        <v>4</v>
      </c>
      <c r="M969" s="8">
        <v>0</v>
      </c>
    </row>
    <row r="970" spans="1:13" hidden="1" x14ac:dyDescent="0.25">
      <c r="A970" s="7">
        <v>18</v>
      </c>
      <c r="B970" s="1" t="s">
        <v>37</v>
      </c>
      <c r="C970" s="1">
        <v>7.3</v>
      </c>
      <c r="D970" s="1" t="s">
        <v>41</v>
      </c>
      <c r="E970" s="1">
        <v>7.3</v>
      </c>
      <c r="F970" s="1">
        <v>2.8</v>
      </c>
      <c r="G970" s="1">
        <v>3.3</v>
      </c>
      <c r="H970" s="1">
        <v>0.4</v>
      </c>
      <c r="I970" s="1" t="s">
        <v>36</v>
      </c>
      <c r="J970" s="1">
        <v>1</v>
      </c>
      <c r="K970" s="1">
        <v>8</v>
      </c>
      <c r="L970" s="1">
        <v>1</v>
      </c>
      <c r="M970" s="8">
        <v>0</v>
      </c>
    </row>
    <row r="971" spans="1:13" x14ac:dyDescent="0.25">
      <c r="A971" s="7">
        <v>17</v>
      </c>
      <c r="B971" s="1" t="s">
        <v>37</v>
      </c>
      <c r="C971" s="1">
        <v>2.6</v>
      </c>
      <c r="D971" s="1" t="s">
        <v>35</v>
      </c>
      <c r="E971" s="1">
        <v>6.5</v>
      </c>
      <c r="F971" s="1">
        <v>1.5</v>
      </c>
      <c r="G971" s="1">
        <v>3.8</v>
      </c>
      <c r="H971" s="1">
        <v>0.2</v>
      </c>
      <c r="I971" s="1" t="s">
        <v>39</v>
      </c>
      <c r="J971" s="1">
        <v>8</v>
      </c>
      <c r="K971" s="1">
        <v>6</v>
      </c>
      <c r="L971" s="1">
        <v>1</v>
      </c>
      <c r="M971" s="8">
        <v>0</v>
      </c>
    </row>
    <row r="972" spans="1:13" hidden="1" x14ac:dyDescent="0.25">
      <c r="A972" s="7">
        <v>17</v>
      </c>
      <c r="B972" s="1" t="s">
        <v>34</v>
      </c>
      <c r="C972" s="1">
        <v>5.4</v>
      </c>
      <c r="D972" s="1" t="s">
        <v>41</v>
      </c>
      <c r="E972" s="1">
        <v>4.9000000000000004</v>
      </c>
      <c r="F972" s="1">
        <v>1.5</v>
      </c>
      <c r="G972" s="1">
        <v>3.4</v>
      </c>
      <c r="H972" s="1">
        <v>0</v>
      </c>
      <c r="I972" s="1" t="s">
        <v>40</v>
      </c>
      <c r="J972" s="1">
        <v>2</v>
      </c>
      <c r="K972" s="1">
        <v>2</v>
      </c>
      <c r="L972" s="1">
        <v>1</v>
      </c>
      <c r="M972" s="8">
        <v>0</v>
      </c>
    </row>
    <row r="973" spans="1:13" hidden="1" x14ac:dyDescent="0.25">
      <c r="A973" s="7">
        <v>15</v>
      </c>
      <c r="B973" s="1" t="s">
        <v>34</v>
      </c>
      <c r="C973" s="1">
        <v>6.9</v>
      </c>
      <c r="D973" s="1" t="s">
        <v>35</v>
      </c>
      <c r="E973" s="1">
        <v>6.2</v>
      </c>
      <c r="F973" s="1">
        <v>0.6</v>
      </c>
      <c r="G973" s="1">
        <v>2.37</v>
      </c>
      <c r="H973" s="1">
        <v>0.2</v>
      </c>
      <c r="I973" s="1" t="s">
        <v>36</v>
      </c>
      <c r="J973" s="1">
        <v>3</v>
      </c>
      <c r="K973" s="1">
        <v>1</v>
      </c>
      <c r="L973" s="1">
        <v>4</v>
      </c>
      <c r="M973" s="8">
        <v>0</v>
      </c>
    </row>
    <row r="974" spans="1:13" x14ac:dyDescent="0.25">
      <c r="A974" s="7">
        <v>19</v>
      </c>
      <c r="B974" s="1" t="s">
        <v>37</v>
      </c>
      <c r="C974" s="1">
        <v>3</v>
      </c>
      <c r="D974" s="1" t="s">
        <v>35</v>
      </c>
      <c r="E974" s="1">
        <v>5.5</v>
      </c>
      <c r="F974" s="1">
        <v>2.1</v>
      </c>
      <c r="G974" s="1">
        <v>3.08</v>
      </c>
      <c r="H974" s="1">
        <v>0.7</v>
      </c>
      <c r="I974" s="1" t="s">
        <v>36</v>
      </c>
      <c r="J974" s="1">
        <v>9</v>
      </c>
      <c r="K974" s="1">
        <v>3</v>
      </c>
      <c r="L974" s="1">
        <v>5</v>
      </c>
      <c r="M974" s="8">
        <v>0</v>
      </c>
    </row>
    <row r="975" spans="1:13" hidden="1" x14ac:dyDescent="0.25">
      <c r="A975" s="7">
        <v>18</v>
      </c>
      <c r="B975" s="1" t="s">
        <v>34</v>
      </c>
      <c r="C975" s="1">
        <v>1.3</v>
      </c>
      <c r="D975" s="1" t="s">
        <v>35</v>
      </c>
      <c r="E975" s="1">
        <v>4.5</v>
      </c>
      <c r="F975" s="1">
        <v>2.2999999999999998</v>
      </c>
      <c r="G975" s="1">
        <v>2.2799999999999998</v>
      </c>
      <c r="H975" s="1">
        <v>1</v>
      </c>
      <c r="I975" s="1" t="s">
        <v>36</v>
      </c>
      <c r="J975" s="1">
        <v>2</v>
      </c>
      <c r="K975" s="1">
        <v>7</v>
      </c>
      <c r="L975" s="1">
        <v>8</v>
      </c>
      <c r="M975" s="8">
        <v>0</v>
      </c>
    </row>
    <row r="976" spans="1:13" hidden="1" x14ac:dyDescent="0.25">
      <c r="A976" s="7">
        <v>15</v>
      </c>
      <c r="B976" s="1" t="s">
        <v>34</v>
      </c>
      <c r="C976" s="1">
        <v>6.2</v>
      </c>
      <c r="D976" s="1" t="s">
        <v>41</v>
      </c>
      <c r="E976" s="1">
        <v>6.4</v>
      </c>
      <c r="F976" s="1">
        <v>1.4</v>
      </c>
      <c r="G976" s="1">
        <v>3.34</v>
      </c>
      <c r="H976" s="1">
        <v>0.9</v>
      </c>
      <c r="I976" s="1" t="s">
        <v>39</v>
      </c>
      <c r="J976" s="1">
        <v>8</v>
      </c>
      <c r="K976" s="1">
        <v>9</v>
      </c>
      <c r="L976" s="1">
        <v>9</v>
      </c>
      <c r="M976" s="8">
        <v>0</v>
      </c>
    </row>
    <row r="977" spans="1:13" hidden="1" x14ac:dyDescent="0.25">
      <c r="A977" s="7">
        <v>15</v>
      </c>
      <c r="B977" s="1" t="s">
        <v>34</v>
      </c>
      <c r="C977" s="1">
        <v>3.6</v>
      </c>
      <c r="D977" s="1" t="s">
        <v>35</v>
      </c>
      <c r="E977" s="1">
        <v>5.5</v>
      </c>
      <c r="F977" s="1">
        <v>1.2</v>
      </c>
      <c r="G977" s="1">
        <v>2.4900000000000002</v>
      </c>
      <c r="H977" s="1">
        <v>1.9</v>
      </c>
      <c r="I977" s="1" t="s">
        <v>36</v>
      </c>
      <c r="J977" s="1">
        <v>1</v>
      </c>
      <c r="K977" s="1">
        <v>4</v>
      </c>
      <c r="L977" s="1">
        <v>9</v>
      </c>
      <c r="M977" s="8">
        <v>0</v>
      </c>
    </row>
    <row r="978" spans="1:13" hidden="1" x14ac:dyDescent="0.25">
      <c r="A978" s="7">
        <v>18</v>
      </c>
      <c r="B978" s="1" t="s">
        <v>37</v>
      </c>
      <c r="C978" s="1">
        <v>6.5</v>
      </c>
      <c r="D978" s="1" t="s">
        <v>41</v>
      </c>
      <c r="E978" s="1">
        <v>6.7</v>
      </c>
      <c r="F978" s="1">
        <v>2.5</v>
      </c>
      <c r="G978" s="1">
        <v>2.98</v>
      </c>
      <c r="H978" s="1">
        <v>0.1</v>
      </c>
      <c r="I978" s="1" t="s">
        <v>39</v>
      </c>
      <c r="J978" s="1">
        <v>9</v>
      </c>
      <c r="K978" s="1">
        <v>7</v>
      </c>
      <c r="L978" s="1">
        <v>7</v>
      </c>
      <c r="M978" s="8">
        <v>0</v>
      </c>
    </row>
    <row r="979" spans="1:13" x14ac:dyDescent="0.25">
      <c r="A979" s="7">
        <v>17</v>
      </c>
      <c r="B979" s="1" t="s">
        <v>37</v>
      </c>
      <c r="C979" s="1">
        <v>5.3</v>
      </c>
      <c r="D979" s="1" t="s">
        <v>35</v>
      </c>
      <c r="E979" s="1">
        <v>6.6</v>
      </c>
      <c r="F979" s="1">
        <v>0.6</v>
      </c>
      <c r="G979" s="1">
        <v>3.04</v>
      </c>
      <c r="H979" s="1">
        <v>0.1</v>
      </c>
      <c r="I979" s="1" t="s">
        <v>39</v>
      </c>
      <c r="J979" s="1">
        <v>3</v>
      </c>
      <c r="K979" s="1">
        <v>7</v>
      </c>
      <c r="L979" s="1">
        <v>1</v>
      </c>
      <c r="M979" s="8">
        <v>0</v>
      </c>
    </row>
    <row r="980" spans="1:13" hidden="1" x14ac:dyDescent="0.25">
      <c r="A980" s="7">
        <v>16</v>
      </c>
      <c r="B980" s="1" t="s">
        <v>34</v>
      </c>
      <c r="C980" s="1">
        <v>4.5999999999999996</v>
      </c>
      <c r="D980" s="1" t="s">
        <v>41</v>
      </c>
      <c r="E980" s="1">
        <v>5.3</v>
      </c>
      <c r="F980" s="1">
        <v>1.3</v>
      </c>
      <c r="G980" s="1">
        <v>3.76</v>
      </c>
      <c r="H980" s="1">
        <v>0.5</v>
      </c>
      <c r="I980" s="1" t="s">
        <v>40</v>
      </c>
      <c r="J980" s="1">
        <v>3</v>
      </c>
      <c r="K980" s="1">
        <v>8</v>
      </c>
      <c r="L980" s="1">
        <v>8</v>
      </c>
      <c r="M980" s="8">
        <v>0</v>
      </c>
    </row>
    <row r="981" spans="1:13" hidden="1" x14ac:dyDescent="0.25">
      <c r="A981" s="7">
        <v>18</v>
      </c>
      <c r="B981" s="1" t="s">
        <v>34</v>
      </c>
      <c r="C981" s="1">
        <v>7.7</v>
      </c>
      <c r="D981" s="1" t="s">
        <v>41</v>
      </c>
      <c r="E981" s="1">
        <v>6.6</v>
      </c>
      <c r="F981" s="1">
        <v>1.6</v>
      </c>
      <c r="G981" s="1">
        <v>4</v>
      </c>
      <c r="H981" s="1">
        <v>1.9</v>
      </c>
      <c r="I981" s="1" t="s">
        <v>39</v>
      </c>
      <c r="J981" s="1">
        <v>3</v>
      </c>
      <c r="K981" s="1">
        <v>3</v>
      </c>
      <c r="L981" s="1">
        <v>9</v>
      </c>
      <c r="M981" s="8">
        <v>0</v>
      </c>
    </row>
    <row r="982" spans="1:13" hidden="1" x14ac:dyDescent="0.25">
      <c r="A982" s="7">
        <v>19</v>
      </c>
      <c r="B982" s="1" t="s">
        <v>34</v>
      </c>
      <c r="C982" s="1">
        <v>7.1</v>
      </c>
      <c r="D982" s="1" t="s">
        <v>38</v>
      </c>
      <c r="E982" s="1">
        <v>8.4</v>
      </c>
      <c r="F982" s="1">
        <v>1.8</v>
      </c>
      <c r="G982" s="1">
        <v>2.93</v>
      </c>
      <c r="H982" s="1">
        <v>1.3</v>
      </c>
      <c r="I982" s="1" t="s">
        <v>40</v>
      </c>
      <c r="J982" s="1">
        <v>1</v>
      </c>
      <c r="K982" s="1">
        <v>6</v>
      </c>
      <c r="L982" s="1">
        <v>8</v>
      </c>
      <c r="M982" s="8">
        <v>0</v>
      </c>
    </row>
    <row r="983" spans="1:13" hidden="1" x14ac:dyDescent="0.25">
      <c r="A983" s="7">
        <v>16</v>
      </c>
      <c r="B983" s="1" t="s">
        <v>34</v>
      </c>
      <c r="C983" s="1">
        <v>3.9</v>
      </c>
      <c r="D983" s="1" t="s">
        <v>38</v>
      </c>
      <c r="E983" s="1">
        <v>7.5</v>
      </c>
      <c r="F983" s="1">
        <v>2.1</v>
      </c>
      <c r="G983" s="1">
        <v>3.24</v>
      </c>
      <c r="H983" s="1">
        <v>0.9</v>
      </c>
      <c r="I983" s="1" t="s">
        <v>36</v>
      </c>
      <c r="J983" s="1">
        <v>4</v>
      </c>
      <c r="K983" s="1">
        <v>3</v>
      </c>
      <c r="L983" s="1">
        <v>2</v>
      </c>
      <c r="M983" s="8">
        <v>0</v>
      </c>
    </row>
    <row r="984" spans="1:13" hidden="1" x14ac:dyDescent="0.25">
      <c r="A984" s="7">
        <v>19</v>
      </c>
      <c r="B984" s="1" t="s">
        <v>37</v>
      </c>
      <c r="C984" s="1">
        <v>7.5</v>
      </c>
      <c r="D984" s="1" t="s">
        <v>38</v>
      </c>
      <c r="E984" s="1">
        <v>8.6</v>
      </c>
      <c r="F984" s="1">
        <v>0.9</v>
      </c>
      <c r="G984" s="1">
        <v>2.25</v>
      </c>
      <c r="H984" s="1">
        <v>1.6</v>
      </c>
      <c r="I984" s="1" t="s">
        <v>39</v>
      </c>
      <c r="J984" s="1">
        <v>9</v>
      </c>
      <c r="K984" s="1">
        <v>8</v>
      </c>
      <c r="L984" s="1">
        <v>4</v>
      </c>
      <c r="M984" s="8">
        <v>0</v>
      </c>
    </row>
    <row r="985" spans="1:13" hidden="1" x14ac:dyDescent="0.25">
      <c r="A985" s="7">
        <v>18</v>
      </c>
      <c r="B985" s="1" t="s">
        <v>34</v>
      </c>
      <c r="C985" s="1">
        <v>5.8</v>
      </c>
      <c r="D985" s="1" t="s">
        <v>38</v>
      </c>
      <c r="E985" s="1">
        <v>7.5</v>
      </c>
      <c r="F985" s="1">
        <v>2.2000000000000002</v>
      </c>
      <c r="G985" s="1">
        <v>3.65</v>
      </c>
      <c r="H985" s="1">
        <v>1.4</v>
      </c>
      <c r="I985" s="1" t="s">
        <v>40</v>
      </c>
      <c r="J985" s="1">
        <v>4</v>
      </c>
      <c r="K985" s="1">
        <v>4</v>
      </c>
      <c r="L985" s="1">
        <v>8</v>
      </c>
      <c r="M985" s="8">
        <v>0</v>
      </c>
    </row>
    <row r="986" spans="1:13" x14ac:dyDescent="0.25">
      <c r="A986" s="7">
        <v>17</v>
      </c>
      <c r="B986" s="1" t="s">
        <v>37</v>
      </c>
      <c r="C986" s="1">
        <v>7.6</v>
      </c>
      <c r="D986" s="1" t="s">
        <v>35</v>
      </c>
      <c r="E986" s="1">
        <v>7.3</v>
      </c>
      <c r="F986" s="1">
        <v>2.9</v>
      </c>
      <c r="G986" s="1">
        <v>2.99</v>
      </c>
      <c r="H986" s="1">
        <v>1.2</v>
      </c>
      <c r="I986" s="1" t="s">
        <v>39</v>
      </c>
      <c r="J986" s="1">
        <v>4</v>
      </c>
      <c r="K986" s="1">
        <v>8</v>
      </c>
      <c r="L986" s="1">
        <v>10</v>
      </c>
      <c r="M986" s="8">
        <v>0</v>
      </c>
    </row>
    <row r="987" spans="1:13" x14ac:dyDescent="0.25">
      <c r="A987" s="7">
        <v>19</v>
      </c>
      <c r="B987" s="1" t="s">
        <v>37</v>
      </c>
      <c r="C987" s="1">
        <v>4.4000000000000004</v>
      </c>
      <c r="D987" s="1" t="s">
        <v>35</v>
      </c>
      <c r="E987" s="1">
        <v>7.4</v>
      </c>
      <c r="F987" s="1">
        <v>2.8</v>
      </c>
      <c r="G987" s="1">
        <v>3.28</v>
      </c>
      <c r="H987" s="1">
        <v>1.5</v>
      </c>
      <c r="I987" s="1" t="s">
        <v>40</v>
      </c>
      <c r="J987" s="1">
        <v>7</v>
      </c>
      <c r="K987" s="1">
        <v>5</v>
      </c>
      <c r="L987" s="1">
        <v>4</v>
      </c>
      <c r="M987" s="8">
        <v>0</v>
      </c>
    </row>
    <row r="988" spans="1:13" hidden="1" x14ac:dyDescent="0.25">
      <c r="A988" s="7">
        <v>19</v>
      </c>
      <c r="B988" s="1" t="s">
        <v>34</v>
      </c>
      <c r="C988" s="1">
        <v>4.5999999999999996</v>
      </c>
      <c r="D988" s="1" t="s">
        <v>41</v>
      </c>
      <c r="E988" s="1">
        <v>4.5999999999999996</v>
      </c>
      <c r="F988" s="1">
        <v>2.5</v>
      </c>
      <c r="G988" s="1">
        <v>2.4</v>
      </c>
      <c r="H988" s="1">
        <v>1</v>
      </c>
      <c r="I988" s="1" t="s">
        <v>39</v>
      </c>
      <c r="J988" s="1">
        <v>10</v>
      </c>
      <c r="K988" s="1">
        <v>10</v>
      </c>
      <c r="L988" s="1">
        <v>8</v>
      </c>
      <c r="M988" s="8">
        <v>0</v>
      </c>
    </row>
    <row r="989" spans="1:13" hidden="1" x14ac:dyDescent="0.25">
      <c r="A989" s="7">
        <v>18</v>
      </c>
      <c r="B989" s="1" t="s">
        <v>37</v>
      </c>
      <c r="C989" s="1">
        <v>7</v>
      </c>
      <c r="D989" s="1" t="s">
        <v>41</v>
      </c>
      <c r="E989" s="1">
        <v>8.9</v>
      </c>
      <c r="F989" s="1">
        <v>0.7</v>
      </c>
      <c r="G989" s="1">
        <v>2.79</v>
      </c>
      <c r="H989" s="1">
        <v>0.4</v>
      </c>
      <c r="I989" s="1" t="s">
        <v>40</v>
      </c>
      <c r="J989" s="1">
        <v>2</v>
      </c>
      <c r="K989" s="1">
        <v>10</v>
      </c>
      <c r="L989" s="1">
        <v>8</v>
      </c>
      <c r="M989" s="8">
        <v>0</v>
      </c>
    </row>
    <row r="990" spans="1:13" hidden="1" x14ac:dyDescent="0.25">
      <c r="A990" s="7">
        <v>16</v>
      </c>
      <c r="B990" s="1" t="s">
        <v>37</v>
      </c>
      <c r="C990" s="1">
        <v>3.6</v>
      </c>
      <c r="D990" s="1" t="s">
        <v>38</v>
      </c>
      <c r="E990" s="1">
        <v>8.8000000000000007</v>
      </c>
      <c r="F990" s="1">
        <v>1.2</v>
      </c>
      <c r="G990" s="1">
        <v>2.3199999999999998</v>
      </c>
      <c r="H990" s="1">
        <v>0.5</v>
      </c>
      <c r="I990" s="1" t="s">
        <v>36</v>
      </c>
      <c r="J990" s="1">
        <v>2</v>
      </c>
      <c r="K990" s="1">
        <v>4</v>
      </c>
      <c r="L990" s="1">
        <v>5</v>
      </c>
      <c r="M990" s="8">
        <v>0</v>
      </c>
    </row>
    <row r="991" spans="1:13" hidden="1" x14ac:dyDescent="0.25">
      <c r="A991" s="7">
        <v>15</v>
      </c>
      <c r="B991" s="1" t="s">
        <v>37</v>
      </c>
      <c r="C991" s="1">
        <v>3</v>
      </c>
      <c r="D991" s="1" t="s">
        <v>38</v>
      </c>
      <c r="E991" s="1">
        <v>6.6</v>
      </c>
      <c r="F991" s="1">
        <v>0.9</v>
      </c>
      <c r="G991" s="1">
        <v>2.69</v>
      </c>
      <c r="H991" s="1">
        <v>1.8</v>
      </c>
      <c r="I991" s="1" t="s">
        <v>40</v>
      </c>
      <c r="J991" s="1">
        <v>1</v>
      </c>
      <c r="K991" s="1">
        <v>2</v>
      </c>
      <c r="L991" s="1">
        <v>2</v>
      </c>
      <c r="M991" s="8">
        <v>0</v>
      </c>
    </row>
    <row r="992" spans="1:13" x14ac:dyDescent="0.25">
      <c r="A992" s="7">
        <v>19</v>
      </c>
      <c r="B992" s="1" t="s">
        <v>37</v>
      </c>
      <c r="C992" s="1">
        <v>7.2</v>
      </c>
      <c r="D992" s="1" t="s">
        <v>35</v>
      </c>
      <c r="E992" s="1">
        <v>6.4</v>
      </c>
      <c r="F992" s="1">
        <v>2.9</v>
      </c>
      <c r="G992" s="1">
        <v>3.82</v>
      </c>
      <c r="H992" s="1">
        <v>1</v>
      </c>
      <c r="I992" s="1" t="s">
        <v>40</v>
      </c>
      <c r="J992" s="1">
        <v>5</v>
      </c>
      <c r="K992" s="1">
        <v>4</v>
      </c>
      <c r="L992" s="1">
        <v>5</v>
      </c>
      <c r="M992" s="8">
        <v>0</v>
      </c>
    </row>
    <row r="993" spans="1:13" hidden="1" x14ac:dyDescent="0.25">
      <c r="A993" s="7">
        <v>15</v>
      </c>
      <c r="B993" s="1" t="s">
        <v>37</v>
      </c>
      <c r="C993" s="1">
        <v>5.6</v>
      </c>
      <c r="D993" s="1" t="s">
        <v>41</v>
      </c>
      <c r="E993" s="1">
        <v>5.9</v>
      </c>
      <c r="F993" s="1">
        <v>2</v>
      </c>
      <c r="G993" s="1">
        <v>2.97</v>
      </c>
      <c r="H993" s="1">
        <v>0.6</v>
      </c>
      <c r="I993" s="1" t="s">
        <v>36</v>
      </c>
      <c r="J993" s="1">
        <v>9</v>
      </c>
      <c r="K993" s="1">
        <v>3</v>
      </c>
      <c r="L993" s="1">
        <v>3</v>
      </c>
      <c r="M993" s="8">
        <v>0</v>
      </c>
    </row>
    <row r="994" spans="1:13" x14ac:dyDescent="0.25">
      <c r="A994" s="7">
        <v>14</v>
      </c>
      <c r="B994" s="1" t="s">
        <v>37</v>
      </c>
      <c r="C994" s="1">
        <v>2</v>
      </c>
      <c r="D994" s="1" t="s">
        <v>35</v>
      </c>
      <c r="E994" s="1">
        <v>4.7</v>
      </c>
      <c r="F994" s="1">
        <v>1.1000000000000001</v>
      </c>
      <c r="G994" s="1">
        <v>2.5099999999999998</v>
      </c>
      <c r="H994" s="1">
        <v>0</v>
      </c>
      <c r="I994" s="1" t="s">
        <v>39</v>
      </c>
      <c r="J994" s="1">
        <v>2</v>
      </c>
      <c r="K994" s="1">
        <v>9</v>
      </c>
      <c r="L994" s="1">
        <v>4</v>
      </c>
      <c r="M994" s="8">
        <v>0</v>
      </c>
    </row>
    <row r="995" spans="1:13" hidden="1" x14ac:dyDescent="0.25">
      <c r="A995" s="7">
        <v>14</v>
      </c>
      <c r="B995" s="1" t="s">
        <v>37</v>
      </c>
      <c r="C995" s="1">
        <v>4.4000000000000004</v>
      </c>
      <c r="D995" s="1" t="s">
        <v>38</v>
      </c>
      <c r="E995" s="1">
        <v>5.0999999999999996</v>
      </c>
      <c r="F995" s="1">
        <v>2.8</v>
      </c>
      <c r="G995" s="1">
        <v>2.2200000000000002</v>
      </c>
      <c r="H995" s="1">
        <v>0.5</v>
      </c>
      <c r="I995" s="1" t="s">
        <v>39</v>
      </c>
      <c r="J995" s="1">
        <v>5</v>
      </c>
      <c r="K995" s="1">
        <v>4</v>
      </c>
      <c r="L995" s="1">
        <v>1</v>
      </c>
      <c r="M995" s="8">
        <v>0</v>
      </c>
    </row>
    <row r="996" spans="1:13" hidden="1" x14ac:dyDescent="0.25">
      <c r="A996" s="7">
        <v>13</v>
      </c>
      <c r="B996" s="1" t="s">
        <v>34</v>
      </c>
      <c r="C996" s="1">
        <v>3.5</v>
      </c>
      <c r="D996" s="1" t="s">
        <v>38</v>
      </c>
      <c r="E996" s="1">
        <v>5.8</v>
      </c>
      <c r="F996" s="1">
        <v>1.2</v>
      </c>
      <c r="G996" s="1">
        <v>2.44</v>
      </c>
      <c r="H996" s="1">
        <v>1.5</v>
      </c>
      <c r="I996" s="1" t="s">
        <v>40</v>
      </c>
      <c r="J996" s="1">
        <v>4</v>
      </c>
      <c r="K996" s="1">
        <v>1</v>
      </c>
      <c r="L996" s="1">
        <v>8</v>
      </c>
      <c r="M996" s="8">
        <v>0</v>
      </c>
    </row>
    <row r="997" spans="1:13" hidden="1" x14ac:dyDescent="0.25">
      <c r="A997" s="7">
        <v>13</v>
      </c>
      <c r="B997" s="1" t="s">
        <v>34</v>
      </c>
      <c r="C997" s="1">
        <v>6.5</v>
      </c>
      <c r="D997" s="1" t="s">
        <v>35</v>
      </c>
      <c r="E997" s="1">
        <v>6.5</v>
      </c>
      <c r="F997" s="1">
        <v>1.5</v>
      </c>
      <c r="G997" s="1">
        <v>2.0499999999999998</v>
      </c>
      <c r="H997" s="1">
        <v>0.5</v>
      </c>
      <c r="I997" s="1" t="s">
        <v>36</v>
      </c>
      <c r="J997" s="1">
        <v>3</v>
      </c>
      <c r="K997" s="1">
        <v>9</v>
      </c>
      <c r="L997" s="1">
        <v>4</v>
      </c>
      <c r="M997" s="8">
        <v>0</v>
      </c>
    </row>
    <row r="998" spans="1:13" hidden="1" x14ac:dyDescent="0.25">
      <c r="A998" s="7">
        <v>14</v>
      </c>
      <c r="B998" s="1" t="s">
        <v>34</v>
      </c>
      <c r="C998" s="1">
        <v>4.4000000000000004</v>
      </c>
      <c r="D998" s="1" t="s">
        <v>35</v>
      </c>
      <c r="E998" s="1">
        <v>8.8000000000000007</v>
      </c>
      <c r="F998" s="1">
        <v>2.2999999999999998</v>
      </c>
      <c r="G998" s="1">
        <v>2.73</v>
      </c>
      <c r="H998" s="1">
        <v>0.3</v>
      </c>
      <c r="I998" s="1" t="s">
        <v>40</v>
      </c>
      <c r="J998" s="1">
        <v>9</v>
      </c>
      <c r="K998" s="1">
        <v>2</v>
      </c>
      <c r="L998" s="1">
        <v>2</v>
      </c>
      <c r="M998" s="8">
        <v>0</v>
      </c>
    </row>
    <row r="999" spans="1:13" hidden="1" x14ac:dyDescent="0.25">
      <c r="A999" s="7">
        <v>17</v>
      </c>
      <c r="B999" s="1" t="s">
        <v>37</v>
      </c>
      <c r="C999" s="1">
        <v>3.1</v>
      </c>
      <c r="D999" s="1" t="s">
        <v>38</v>
      </c>
      <c r="E999" s="1">
        <v>4.2</v>
      </c>
      <c r="F999" s="1">
        <v>0.8</v>
      </c>
      <c r="G999" s="1">
        <v>2.2799999999999998</v>
      </c>
      <c r="H999" s="1">
        <v>1.6</v>
      </c>
      <c r="I999" s="1" t="s">
        <v>40</v>
      </c>
      <c r="J999" s="1">
        <v>4</v>
      </c>
      <c r="K999" s="1">
        <v>9</v>
      </c>
      <c r="L999" s="1">
        <v>6</v>
      </c>
      <c r="M999" s="8">
        <v>0</v>
      </c>
    </row>
    <row r="1000" spans="1:13" hidden="1" x14ac:dyDescent="0.25">
      <c r="A1000" s="7">
        <v>15</v>
      </c>
      <c r="B1000" s="1" t="s">
        <v>34</v>
      </c>
      <c r="C1000" s="1">
        <v>7.8</v>
      </c>
      <c r="D1000" s="1" t="s">
        <v>41</v>
      </c>
      <c r="E1000" s="1">
        <v>4.2</v>
      </c>
      <c r="F1000" s="1">
        <v>2.1</v>
      </c>
      <c r="G1000" s="1">
        <v>3.42</v>
      </c>
      <c r="H1000" s="1">
        <v>0</v>
      </c>
      <c r="I1000" s="1" t="s">
        <v>36</v>
      </c>
      <c r="J1000" s="1">
        <v>10</v>
      </c>
      <c r="K1000" s="1">
        <v>7</v>
      </c>
      <c r="L1000" s="1">
        <v>9</v>
      </c>
      <c r="M1000" s="8">
        <v>1</v>
      </c>
    </row>
    <row r="1001" spans="1:13" hidden="1" x14ac:dyDescent="0.25">
      <c r="A1001" s="7">
        <v>19</v>
      </c>
      <c r="B1001" s="1" t="s">
        <v>37</v>
      </c>
      <c r="C1001" s="1">
        <v>2.1</v>
      </c>
      <c r="D1001" s="1" t="s">
        <v>41</v>
      </c>
      <c r="E1001" s="1">
        <v>4.4000000000000004</v>
      </c>
      <c r="F1001" s="1">
        <v>2.2000000000000002</v>
      </c>
      <c r="G1001" s="1">
        <v>2.4700000000000002</v>
      </c>
      <c r="H1001" s="1">
        <v>0.7</v>
      </c>
      <c r="I1001" s="1" t="s">
        <v>39</v>
      </c>
      <c r="J1001" s="1">
        <v>9</v>
      </c>
      <c r="K1001" s="1">
        <v>5</v>
      </c>
      <c r="L1001" s="1">
        <v>6</v>
      </c>
      <c r="M1001" s="8">
        <v>0</v>
      </c>
    </row>
    <row r="1002" spans="1:13" hidden="1" x14ac:dyDescent="0.25">
      <c r="A1002" s="7">
        <v>14</v>
      </c>
      <c r="B1002" s="1" t="s">
        <v>37</v>
      </c>
      <c r="C1002" s="1">
        <v>5.5</v>
      </c>
      <c r="D1002" s="1" t="s">
        <v>41</v>
      </c>
      <c r="E1002" s="1">
        <v>5.7</v>
      </c>
      <c r="F1002" s="1">
        <v>2.2999999999999998</v>
      </c>
      <c r="G1002" s="1">
        <v>3.05</v>
      </c>
      <c r="H1002" s="1">
        <v>1.3</v>
      </c>
      <c r="I1002" s="1" t="s">
        <v>40</v>
      </c>
      <c r="J1002" s="1">
        <v>7</v>
      </c>
      <c r="K1002" s="1">
        <v>8</v>
      </c>
      <c r="L1002" s="1">
        <v>5</v>
      </c>
      <c r="M1002" s="8">
        <v>1</v>
      </c>
    </row>
    <row r="1003" spans="1:13" x14ac:dyDescent="0.25">
      <c r="A1003" s="7">
        <v>15</v>
      </c>
      <c r="B1003" s="1" t="s">
        <v>37</v>
      </c>
      <c r="C1003" s="1">
        <v>5.7</v>
      </c>
      <c r="D1003" s="1" t="s">
        <v>35</v>
      </c>
      <c r="E1003" s="1">
        <v>7.2</v>
      </c>
      <c r="F1003" s="1">
        <v>2.4</v>
      </c>
      <c r="G1003" s="1">
        <v>2.1800000000000002</v>
      </c>
      <c r="H1003" s="1">
        <v>1.6</v>
      </c>
      <c r="I1003" s="1" t="s">
        <v>40</v>
      </c>
      <c r="J1003" s="1">
        <v>5</v>
      </c>
      <c r="K1003" s="1">
        <v>1</v>
      </c>
      <c r="L1003" s="1">
        <v>7</v>
      </c>
      <c r="M1003" s="8">
        <v>0</v>
      </c>
    </row>
    <row r="1004" spans="1:13" hidden="1" x14ac:dyDescent="0.25">
      <c r="A1004" s="7">
        <v>15</v>
      </c>
      <c r="B1004" s="1" t="s">
        <v>37</v>
      </c>
      <c r="C1004" s="1">
        <v>5</v>
      </c>
      <c r="D1004" s="1" t="s">
        <v>38</v>
      </c>
      <c r="E1004" s="1">
        <v>6.3</v>
      </c>
      <c r="F1004" s="1">
        <v>1.5</v>
      </c>
      <c r="G1004" s="1">
        <v>2.67</v>
      </c>
      <c r="H1004" s="1">
        <v>1.1000000000000001</v>
      </c>
      <c r="I1004" s="1" t="s">
        <v>39</v>
      </c>
      <c r="J1004" s="1">
        <v>6</v>
      </c>
      <c r="K1004" s="1">
        <v>2</v>
      </c>
      <c r="L1004" s="1">
        <v>5</v>
      </c>
      <c r="M1004" s="8">
        <v>0</v>
      </c>
    </row>
    <row r="1005" spans="1:13" hidden="1" x14ac:dyDescent="0.25">
      <c r="A1005" s="7">
        <v>16</v>
      </c>
      <c r="B1005" s="1" t="s">
        <v>37</v>
      </c>
      <c r="C1005" s="1">
        <v>7.5</v>
      </c>
      <c r="D1005" s="1" t="s">
        <v>41</v>
      </c>
      <c r="E1005" s="1">
        <v>4</v>
      </c>
      <c r="F1005" s="1">
        <v>0.5</v>
      </c>
      <c r="G1005" s="1">
        <v>3.72</v>
      </c>
      <c r="H1005" s="1">
        <v>1.1000000000000001</v>
      </c>
      <c r="I1005" s="1" t="s">
        <v>40</v>
      </c>
      <c r="J1005" s="1">
        <v>4</v>
      </c>
      <c r="K1005" s="1">
        <v>5</v>
      </c>
      <c r="L1005" s="1">
        <v>7</v>
      </c>
      <c r="M1005" s="8">
        <v>0</v>
      </c>
    </row>
    <row r="1006" spans="1:13" hidden="1" x14ac:dyDescent="0.25">
      <c r="A1006" s="7">
        <v>17</v>
      </c>
      <c r="B1006" s="1" t="s">
        <v>34</v>
      </c>
      <c r="C1006" s="1">
        <v>2.2000000000000002</v>
      </c>
      <c r="D1006" s="1" t="s">
        <v>38</v>
      </c>
      <c r="E1006" s="1">
        <v>7.1</v>
      </c>
      <c r="F1006" s="1">
        <v>1.1000000000000001</v>
      </c>
      <c r="G1006" s="1">
        <v>2.5</v>
      </c>
      <c r="H1006" s="1">
        <v>1.5</v>
      </c>
      <c r="I1006" s="1" t="s">
        <v>36</v>
      </c>
      <c r="J1006" s="1">
        <v>2</v>
      </c>
      <c r="K1006" s="1">
        <v>1</v>
      </c>
      <c r="L1006" s="1">
        <v>2</v>
      </c>
      <c r="M1006" s="8">
        <v>0</v>
      </c>
    </row>
    <row r="1007" spans="1:13" x14ac:dyDescent="0.25">
      <c r="A1007" s="7">
        <v>15</v>
      </c>
      <c r="B1007" s="1" t="s">
        <v>37</v>
      </c>
      <c r="C1007" s="1">
        <v>7.3</v>
      </c>
      <c r="D1007" s="1" t="s">
        <v>35</v>
      </c>
      <c r="E1007" s="1">
        <v>4.0999999999999996</v>
      </c>
      <c r="F1007" s="1">
        <v>2.1</v>
      </c>
      <c r="G1007" s="1">
        <v>2.87</v>
      </c>
      <c r="H1007" s="1">
        <v>0.4</v>
      </c>
      <c r="I1007" s="1" t="s">
        <v>36</v>
      </c>
      <c r="J1007" s="1">
        <v>10</v>
      </c>
      <c r="K1007" s="1">
        <v>10</v>
      </c>
      <c r="L1007" s="1">
        <v>1</v>
      </c>
      <c r="M1007" s="8">
        <v>1</v>
      </c>
    </row>
    <row r="1008" spans="1:13" hidden="1" x14ac:dyDescent="0.25">
      <c r="A1008" s="7">
        <v>17</v>
      </c>
      <c r="B1008" s="1" t="s">
        <v>34</v>
      </c>
      <c r="C1008" s="1">
        <v>2.7</v>
      </c>
      <c r="D1008" s="1" t="s">
        <v>35</v>
      </c>
      <c r="E1008" s="1">
        <v>7.5</v>
      </c>
      <c r="F1008" s="1">
        <v>1.5</v>
      </c>
      <c r="G1008" s="1">
        <v>3.23</v>
      </c>
      <c r="H1008" s="1">
        <v>1.4</v>
      </c>
      <c r="I1008" s="1" t="s">
        <v>36</v>
      </c>
      <c r="J1008" s="1">
        <v>5</v>
      </c>
      <c r="K1008" s="1">
        <v>7</v>
      </c>
      <c r="L1008" s="1">
        <v>3</v>
      </c>
      <c r="M1008" s="8">
        <v>0</v>
      </c>
    </row>
    <row r="1009" spans="1:13" hidden="1" x14ac:dyDescent="0.25">
      <c r="A1009" s="7">
        <v>18</v>
      </c>
      <c r="B1009" s="1" t="s">
        <v>34</v>
      </c>
      <c r="C1009" s="1">
        <v>1.6</v>
      </c>
      <c r="D1009" s="1" t="s">
        <v>35</v>
      </c>
      <c r="E1009" s="1">
        <v>8.6</v>
      </c>
      <c r="F1009" s="1">
        <v>2.6</v>
      </c>
      <c r="G1009" s="1">
        <v>3.53</v>
      </c>
      <c r="H1009" s="1">
        <v>0.1</v>
      </c>
      <c r="I1009" s="1" t="s">
        <v>40</v>
      </c>
      <c r="J1009" s="1">
        <v>8</v>
      </c>
      <c r="K1009" s="1">
        <v>8</v>
      </c>
      <c r="L1009" s="1">
        <v>10</v>
      </c>
      <c r="M1009" s="8">
        <v>0</v>
      </c>
    </row>
    <row r="1010" spans="1:13" hidden="1" x14ac:dyDescent="0.25">
      <c r="A1010" s="7">
        <v>14</v>
      </c>
      <c r="B1010" s="1" t="s">
        <v>34</v>
      </c>
      <c r="C1010" s="1">
        <v>4</v>
      </c>
      <c r="D1010" s="1" t="s">
        <v>38</v>
      </c>
      <c r="E1010" s="1">
        <v>4.9000000000000004</v>
      </c>
      <c r="F1010" s="1">
        <v>2.7</v>
      </c>
      <c r="G1010" s="1">
        <v>2.2999999999999998</v>
      </c>
      <c r="H1010" s="1">
        <v>0.5</v>
      </c>
      <c r="I1010" s="1" t="s">
        <v>39</v>
      </c>
      <c r="J1010" s="1">
        <v>7</v>
      </c>
      <c r="K1010" s="1">
        <v>8</v>
      </c>
      <c r="L1010" s="1">
        <v>6</v>
      </c>
      <c r="M1010" s="8">
        <v>0</v>
      </c>
    </row>
    <row r="1011" spans="1:13" hidden="1" x14ac:dyDescent="0.25">
      <c r="A1011" s="7">
        <v>18</v>
      </c>
      <c r="B1011" s="1" t="s">
        <v>37</v>
      </c>
      <c r="C1011" s="1">
        <v>6.3</v>
      </c>
      <c r="D1011" s="1" t="s">
        <v>41</v>
      </c>
      <c r="E1011" s="1">
        <v>4.7</v>
      </c>
      <c r="F1011" s="1">
        <v>2.4</v>
      </c>
      <c r="G1011" s="1">
        <v>2.2999999999999998</v>
      </c>
      <c r="H1011" s="1">
        <v>0.9</v>
      </c>
      <c r="I1011" s="1" t="s">
        <v>40</v>
      </c>
      <c r="J1011" s="1">
        <v>6</v>
      </c>
      <c r="K1011" s="1">
        <v>1</v>
      </c>
      <c r="L1011" s="1">
        <v>6</v>
      </c>
      <c r="M1011" s="8">
        <v>0</v>
      </c>
    </row>
    <row r="1012" spans="1:13" hidden="1" x14ac:dyDescent="0.25">
      <c r="A1012" s="7">
        <v>16</v>
      </c>
      <c r="B1012" s="1" t="s">
        <v>37</v>
      </c>
      <c r="C1012" s="1">
        <v>6.8</v>
      </c>
      <c r="D1012" s="1" t="s">
        <v>38</v>
      </c>
      <c r="E1012" s="1">
        <v>7.1</v>
      </c>
      <c r="F1012" s="1">
        <v>2.9</v>
      </c>
      <c r="G1012" s="1">
        <v>3.26</v>
      </c>
      <c r="H1012" s="1">
        <v>0.6</v>
      </c>
      <c r="I1012" s="1" t="s">
        <v>36</v>
      </c>
      <c r="J1012" s="1">
        <v>6</v>
      </c>
      <c r="K1012" s="1">
        <v>10</v>
      </c>
      <c r="L1012" s="1">
        <v>4</v>
      </c>
      <c r="M1012" s="8">
        <v>0</v>
      </c>
    </row>
    <row r="1013" spans="1:13" hidden="1" x14ac:dyDescent="0.25">
      <c r="A1013" s="7">
        <v>18</v>
      </c>
      <c r="B1013" s="1" t="s">
        <v>37</v>
      </c>
      <c r="C1013" s="1">
        <v>6.6</v>
      </c>
      <c r="D1013" s="1" t="s">
        <v>41</v>
      </c>
      <c r="E1013" s="1">
        <v>8.1</v>
      </c>
      <c r="F1013" s="1">
        <v>2</v>
      </c>
      <c r="G1013" s="1">
        <v>3.59</v>
      </c>
      <c r="H1013" s="1">
        <v>1.6</v>
      </c>
      <c r="I1013" s="1" t="s">
        <v>36</v>
      </c>
      <c r="J1013" s="1">
        <v>9</v>
      </c>
      <c r="K1013" s="1">
        <v>4</v>
      </c>
      <c r="L1013" s="1">
        <v>3</v>
      </c>
      <c r="M1013" s="8">
        <v>0</v>
      </c>
    </row>
    <row r="1014" spans="1:13" hidden="1" x14ac:dyDescent="0.25">
      <c r="A1014" s="7">
        <v>13</v>
      </c>
      <c r="B1014" s="1" t="s">
        <v>34</v>
      </c>
      <c r="C1014" s="1">
        <v>4</v>
      </c>
      <c r="D1014" s="1" t="s">
        <v>35</v>
      </c>
      <c r="E1014" s="1">
        <v>4.2</v>
      </c>
      <c r="F1014" s="1">
        <v>0.9</v>
      </c>
      <c r="G1014" s="1">
        <v>2.75</v>
      </c>
      <c r="H1014" s="1">
        <v>1</v>
      </c>
      <c r="I1014" s="1" t="s">
        <v>39</v>
      </c>
      <c r="J1014" s="1">
        <v>5</v>
      </c>
      <c r="K1014" s="1">
        <v>4</v>
      </c>
      <c r="L1014" s="1">
        <v>8</v>
      </c>
      <c r="M1014" s="8">
        <v>0</v>
      </c>
    </row>
    <row r="1015" spans="1:13" hidden="1" x14ac:dyDescent="0.25">
      <c r="A1015" s="7">
        <v>13</v>
      </c>
      <c r="B1015" s="1" t="s">
        <v>34</v>
      </c>
      <c r="C1015" s="1">
        <v>1.6</v>
      </c>
      <c r="D1015" s="1" t="s">
        <v>38</v>
      </c>
      <c r="E1015" s="1">
        <v>5</v>
      </c>
      <c r="F1015" s="1">
        <v>2.7</v>
      </c>
      <c r="G1015" s="1">
        <v>2.31</v>
      </c>
      <c r="H1015" s="1">
        <v>1.9</v>
      </c>
      <c r="I1015" s="1" t="s">
        <v>36</v>
      </c>
      <c r="J1015" s="1">
        <v>8</v>
      </c>
      <c r="K1015" s="1">
        <v>9</v>
      </c>
      <c r="L1015" s="1">
        <v>5</v>
      </c>
      <c r="M1015" s="8">
        <v>0</v>
      </c>
    </row>
    <row r="1016" spans="1:13" hidden="1" x14ac:dyDescent="0.25">
      <c r="A1016" s="7">
        <v>18</v>
      </c>
      <c r="B1016" s="1" t="s">
        <v>34</v>
      </c>
      <c r="C1016" s="1">
        <v>5.3</v>
      </c>
      <c r="D1016" s="1" t="s">
        <v>41</v>
      </c>
      <c r="E1016" s="1">
        <v>8.1999999999999993</v>
      </c>
      <c r="F1016" s="1">
        <v>1.9</v>
      </c>
      <c r="G1016" s="1">
        <v>3.87</v>
      </c>
      <c r="H1016" s="1">
        <v>1.9</v>
      </c>
      <c r="I1016" s="1" t="s">
        <v>36</v>
      </c>
      <c r="J1016" s="1">
        <v>2</v>
      </c>
      <c r="K1016" s="1">
        <v>9</v>
      </c>
      <c r="L1016" s="1">
        <v>8</v>
      </c>
      <c r="M1016" s="8">
        <v>0</v>
      </c>
    </row>
    <row r="1017" spans="1:13" hidden="1" x14ac:dyDescent="0.25">
      <c r="A1017" s="7">
        <v>19</v>
      </c>
      <c r="B1017" s="1" t="s">
        <v>37</v>
      </c>
      <c r="C1017" s="1">
        <v>7.4</v>
      </c>
      <c r="D1017" s="1" t="s">
        <v>41</v>
      </c>
      <c r="E1017" s="1">
        <v>4.4000000000000004</v>
      </c>
      <c r="F1017" s="1">
        <v>1.4</v>
      </c>
      <c r="G1017" s="1">
        <v>3.78</v>
      </c>
      <c r="H1017" s="1">
        <v>1.1000000000000001</v>
      </c>
      <c r="I1017" s="1" t="s">
        <v>36</v>
      </c>
      <c r="J1017" s="1">
        <v>9</v>
      </c>
      <c r="K1017" s="1">
        <v>7</v>
      </c>
      <c r="L1017" s="1">
        <v>5</v>
      </c>
      <c r="M1017" s="8">
        <v>1</v>
      </c>
    </row>
    <row r="1018" spans="1:13" x14ac:dyDescent="0.25">
      <c r="A1018" s="7">
        <v>18</v>
      </c>
      <c r="B1018" s="1" t="s">
        <v>37</v>
      </c>
      <c r="C1018" s="1">
        <v>2.2999999999999998</v>
      </c>
      <c r="D1018" s="1" t="s">
        <v>35</v>
      </c>
      <c r="E1018" s="1">
        <v>8.6999999999999993</v>
      </c>
      <c r="F1018" s="1">
        <v>0.6</v>
      </c>
      <c r="G1018" s="1">
        <v>2.76</v>
      </c>
      <c r="H1018" s="1">
        <v>1.9</v>
      </c>
      <c r="I1018" s="1" t="s">
        <v>39</v>
      </c>
      <c r="J1018" s="1">
        <v>4</v>
      </c>
      <c r="K1018" s="1">
        <v>8</v>
      </c>
      <c r="L1018" s="1">
        <v>7</v>
      </c>
      <c r="M1018" s="8">
        <v>0</v>
      </c>
    </row>
    <row r="1019" spans="1:13" hidden="1" x14ac:dyDescent="0.25">
      <c r="A1019" s="7">
        <v>16</v>
      </c>
      <c r="B1019" s="1" t="s">
        <v>34</v>
      </c>
      <c r="C1019" s="1">
        <v>7.6</v>
      </c>
      <c r="D1019" s="1" t="s">
        <v>41</v>
      </c>
      <c r="E1019" s="1">
        <v>6.1</v>
      </c>
      <c r="F1019" s="1">
        <v>0.8</v>
      </c>
      <c r="G1019" s="1">
        <v>3.09</v>
      </c>
      <c r="H1019" s="1">
        <v>1.3</v>
      </c>
      <c r="I1019" s="1" t="s">
        <v>36</v>
      </c>
      <c r="J1019" s="1">
        <v>8</v>
      </c>
      <c r="K1019" s="1">
        <v>4</v>
      </c>
      <c r="L1019" s="1">
        <v>4</v>
      </c>
      <c r="M1019" s="8">
        <v>0</v>
      </c>
    </row>
    <row r="1020" spans="1:13" hidden="1" x14ac:dyDescent="0.25">
      <c r="A1020" s="7">
        <v>16</v>
      </c>
      <c r="B1020" s="1" t="s">
        <v>37</v>
      </c>
      <c r="C1020" s="1">
        <v>7.6</v>
      </c>
      <c r="D1020" s="1" t="s">
        <v>38</v>
      </c>
      <c r="E1020" s="1">
        <v>7.6</v>
      </c>
      <c r="F1020" s="1">
        <v>2.4</v>
      </c>
      <c r="G1020" s="1">
        <v>2.2400000000000002</v>
      </c>
      <c r="H1020" s="1">
        <v>1.1000000000000001</v>
      </c>
      <c r="I1020" s="1" t="s">
        <v>40</v>
      </c>
      <c r="J1020" s="1">
        <v>1</v>
      </c>
      <c r="K1020" s="1">
        <v>5</v>
      </c>
      <c r="L1020" s="1">
        <v>5</v>
      </c>
      <c r="M1020" s="8">
        <v>0</v>
      </c>
    </row>
    <row r="1021" spans="1:13" hidden="1" x14ac:dyDescent="0.25">
      <c r="A1021" s="7">
        <v>17</v>
      </c>
      <c r="B1021" s="1" t="s">
        <v>37</v>
      </c>
      <c r="C1021" s="1">
        <v>3.4</v>
      </c>
      <c r="D1021" s="1" t="s">
        <v>41</v>
      </c>
      <c r="E1021" s="1">
        <v>4.7</v>
      </c>
      <c r="F1021" s="1">
        <v>0.5</v>
      </c>
      <c r="G1021" s="1">
        <v>2.91</v>
      </c>
      <c r="H1021" s="1">
        <v>2</v>
      </c>
      <c r="I1021" s="1" t="s">
        <v>39</v>
      </c>
      <c r="J1021" s="1">
        <v>2</v>
      </c>
      <c r="K1021" s="1">
        <v>8</v>
      </c>
      <c r="L1021" s="1">
        <v>1</v>
      </c>
      <c r="M1021" s="8">
        <v>0</v>
      </c>
    </row>
    <row r="1022" spans="1:13" x14ac:dyDescent="0.25">
      <c r="A1022" s="7">
        <v>18</v>
      </c>
      <c r="B1022" s="1" t="s">
        <v>37</v>
      </c>
      <c r="C1022" s="1">
        <v>2.2999999999999998</v>
      </c>
      <c r="D1022" s="1" t="s">
        <v>35</v>
      </c>
      <c r="E1022" s="1">
        <v>4.2</v>
      </c>
      <c r="F1022" s="1">
        <v>0.9</v>
      </c>
      <c r="G1022" s="1">
        <v>3.84</v>
      </c>
      <c r="H1022" s="1">
        <v>1.3</v>
      </c>
      <c r="I1022" s="1" t="s">
        <v>39</v>
      </c>
      <c r="J1022" s="1">
        <v>6</v>
      </c>
      <c r="K1022" s="1">
        <v>6</v>
      </c>
      <c r="L1022" s="1">
        <v>10</v>
      </c>
      <c r="M1022" s="8">
        <v>0</v>
      </c>
    </row>
    <row r="1023" spans="1:13" hidden="1" x14ac:dyDescent="0.25">
      <c r="A1023" s="7">
        <v>18</v>
      </c>
      <c r="B1023" s="1" t="s">
        <v>34</v>
      </c>
      <c r="C1023" s="1">
        <v>5</v>
      </c>
      <c r="D1023" s="1" t="s">
        <v>35</v>
      </c>
      <c r="E1023" s="1">
        <v>4.3</v>
      </c>
      <c r="F1023" s="1">
        <v>1.1000000000000001</v>
      </c>
      <c r="G1023" s="1">
        <v>2.2200000000000002</v>
      </c>
      <c r="H1023" s="1">
        <v>0.1</v>
      </c>
      <c r="I1023" s="1" t="s">
        <v>39</v>
      </c>
      <c r="J1023" s="1">
        <v>7</v>
      </c>
      <c r="K1023" s="1">
        <v>2</v>
      </c>
      <c r="L1023" s="1">
        <v>2</v>
      </c>
      <c r="M1023" s="8">
        <v>0</v>
      </c>
    </row>
    <row r="1024" spans="1:13" hidden="1" x14ac:dyDescent="0.25">
      <c r="A1024" s="7">
        <v>15</v>
      </c>
      <c r="B1024" s="1" t="s">
        <v>34</v>
      </c>
      <c r="C1024" s="1">
        <v>3.8</v>
      </c>
      <c r="D1024" s="1" t="s">
        <v>38</v>
      </c>
      <c r="E1024" s="1">
        <v>7.1</v>
      </c>
      <c r="F1024" s="1">
        <v>0.5</v>
      </c>
      <c r="G1024" s="1">
        <v>3.08</v>
      </c>
      <c r="H1024" s="1">
        <v>0.2</v>
      </c>
      <c r="I1024" s="1" t="s">
        <v>40</v>
      </c>
      <c r="J1024" s="1">
        <v>2</v>
      </c>
      <c r="K1024" s="1">
        <v>9</v>
      </c>
      <c r="L1024" s="1">
        <v>7</v>
      </c>
      <c r="M1024" s="8">
        <v>0</v>
      </c>
    </row>
    <row r="1025" spans="1:13" hidden="1" x14ac:dyDescent="0.25">
      <c r="A1025" s="7">
        <v>16</v>
      </c>
      <c r="B1025" s="1" t="s">
        <v>34</v>
      </c>
      <c r="C1025" s="1">
        <v>3.7</v>
      </c>
      <c r="D1025" s="1" t="s">
        <v>35</v>
      </c>
      <c r="E1025" s="1">
        <v>7.6</v>
      </c>
      <c r="F1025" s="1">
        <v>1.2</v>
      </c>
      <c r="G1025" s="1">
        <v>3.2</v>
      </c>
      <c r="H1025" s="1">
        <v>1</v>
      </c>
      <c r="I1025" s="1" t="s">
        <v>40</v>
      </c>
      <c r="J1025" s="1">
        <v>4</v>
      </c>
      <c r="K1025" s="1">
        <v>8</v>
      </c>
      <c r="L1025" s="1">
        <v>6</v>
      </c>
      <c r="M1025" s="8">
        <v>0</v>
      </c>
    </row>
    <row r="1026" spans="1:13" hidden="1" x14ac:dyDescent="0.25">
      <c r="A1026" s="7">
        <v>13</v>
      </c>
      <c r="B1026" s="1" t="s">
        <v>34</v>
      </c>
      <c r="C1026" s="1">
        <v>1.4</v>
      </c>
      <c r="D1026" s="1" t="s">
        <v>41</v>
      </c>
      <c r="E1026" s="1">
        <v>8.6</v>
      </c>
      <c r="F1026" s="1">
        <v>2.4</v>
      </c>
      <c r="G1026" s="1">
        <v>3.31</v>
      </c>
      <c r="H1026" s="1">
        <v>0.7</v>
      </c>
      <c r="I1026" s="1" t="s">
        <v>36</v>
      </c>
      <c r="J1026" s="1">
        <v>2</v>
      </c>
      <c r="K1026" s="1">
        <v>6</v>
      </c>
      <c r="L1026" s="1">
        <v>2</v>
      </c>
      <c r="M1026" s="8">
        <v>0</v>
      </c>
    </row>
    <row r="1027" spans="1:13" hidden="1" x14ac:dyDescent="0.25">
      <c r="A1027" s="7">
        <v>18</v>
      </c>
      <c r="B1027" s="1" t="s">
        <v>34</v>
      </c>
      <c r="C1027" s="1">
        <v>1.8</v>
      </c>
      <c r="D1027" s="1" t="s">
        <v>41</v>
      </c>
      <c r="E1027" s="1">
        <v>4.9000000000000004</v>
      </c>
      <c r="F1027" s="1">
        <v>2.7</v>
      </c>
      <c r="G1027" s="1">
        <v>2.12</v>
      </c>
      <c r="H1027" s="1">
        <v>0.2</v>
      </c>
      <c r="I1027" s="1" t="s">
        <v>36</v>
      </c>
      <c r="J1027" s="1">
        <v>1</v>
      </c>
      <c r="K1027" s="1">
        <v>3</v>
      </c>
      <c r="L1027" s="1">
        <v>8</v>
      </c>
      <c r="M1027" s="8">
        <v>0</v>
      </c>
    </row>
    <row r="1028" spans="1:13" hidden="1" x14ac:dyDescent="0.25">
      <c r="A1028" s="7">
        <v>19</v>
      </c>
      <c r="B1028" s="1" t="s">
        <v>34</v>
      </c>
      <c r="C1028" s="1">
        <v>1.5</v>
      </c>
      <c r="D1028" s="1" t="s">
        <v>38</v>
      </c>
      <c r="E1028" s="1">
        <v>5.8</v>
      </c>
      <c r="F1028" s="1">
        <v>1.1000000000000001</v>
      </c>
      <c r="G1028" s="1">
        <v>3.29</v>
      </c>
      <c r="H1028" s="1">
        <v>1.7</v>
      </c>
      <c r="I1028" s="1" t="s">
        <v>39</v>
      </c>
      <c r="J1028" s="1">
        <v>6</v>
      </c>
      <c r="K1028" s="1">
        <v>4</v>
      </c>
      <c r="L1028" s="1">
        <v>2</v>
      </c>
      <c r="M1028" s="8">
        <v>0</v>
      </c>
    </row>
    <row r="1029" spans="1:13" hidden="1" x14ac:dyDescent="0.25">
      <c r="A1029" s="7">
        <v>18</v>
      </c>
      <c r="B1029" s="1" t="s">
        <v>37</v>
      </c>
      <c r="C1029" s="1">
        <v>5.5</v>
      </c>
      <c r="D1029" s="1" t="s">
        <v>41</v>
      </c>
      <c r="E1029" s="1">
        <v>5.5</v>
      </c>
      <c r="F1029" s="1">
        <v>1.8</v>
      </c>
      <c r="G1029" s="1">
        <v>2.2400000000000002</v>
      </c>
      <c r="H1029" s="1">
        <v>0</v>
      </c>
      <c r="I1029" s="1" t="s">
        <v>39</v>
      </c>
      <c r="J1029" s="1">
        <v>3</v>
      </c>
      <c r="K1029" s="1">
        <v>4</v>
      </c>
      <c r="L1029" s="1">
        <v>10</v>
      </c>
      <c r="M1029" s="8">
        <v>0</v>
      </c>
    </row>
    <row r="1030" spans="1:13" hidden="1" x14ac:dyDescent="0.25">
      <c r="A1030" s="7">
        <v>15</v>
      </c>
      <c r="B1030" s="1" t="s">
        <v>34</v>
      </c>
      <c r="C1030" s="1">
        <v>4.9000000000000004</v>
      </c>
      <c r="D1030" s="1" t="s">
        <v>41</v>
      </c>
      <c r="E1030" s="1">
        <v>5.2</v>
      </c>
      <c r="F1030" s="1">
        <v>0.7</v>
      </c>
      <c r="G1030" s="1">
        <v>2.5499999999999998</v>
      </c>
      <c r="H1030" s="1">
        <v>0.1</v>
      </c>
      <c r="I1030" s="1" t="s">
        <v>36</v>
      </c>
      <c r="J1030" s="1">
        <v>10</v>
      </c>
      <c r="K1030" s="1">
        <v>6</v>
      </c>
      <c r="L1030" s="1">
        <v>4</v>
      </c>
      <c r="M1030" s="8">
        <v>0</v>
      </c>
    </row>
    <row r="1031" spans="1:13" hidden="1" x14ac:dyDescent="0.25">
      <c r="A1031" s="7">
        <v>14</v>
      </c>
      <c r="B1031" s="1" t="s">
        <v>37</v>
      </c>
      <c r="C1031" s="1">
        <v>7.2</v>
      </c>
      <c r="D1031" s="1" t="s">
        <v>41</v>
      </c>
      <c r="E1031" s="1">
        <v>7</v>
      </c>
      <c r="F1031" s="1">
        <v>2.2999999999999998</v>
      </c>
      <c r="G1031" s="1">
        <v>3.74</v>
      </c>
      <c r="H1031" s="1">
        <v>0.7</v>
      </c>
      <c r="I1031" s="1" t="s">
        <v>36</v>
      </c>
      <c r="J1031" s="1">
        <v>8</v>
      </c>
      <c r="K1031" s="1">
        <v>4</v>
      </c>
      <c r="L1031" s="1">
        <v>7</v>
      </c>
      <c r="M1031" s="8">
        <v>0</v>
      </c>
    </row>
    <row r="1032" spans="1:13" x14ac:dyDescent="0.25">
      <c r="A1032" s="7">
        <v>16</v>
      </c>
      <c r="B1032" s="1" t="s">
        <v>37</v>
      </c>
      <c r="C1032" s="1">
        <v>6.8</v>
      </c>
      <c r="D1032" s="1" t="s">
        <v>35</v>
      </c>
      <c r="E1032" s="1">
        <v>7.2</v>
      </c>
      <c r="F1032" s="1">
        <v>1.1000000000000001</v>
      </c>
      <c r="G1032" s="1">
        <v>2.29</v>
      </c>
      <c r="H1032" s="1">
        <v>1.9</v>
      </c>
      <c r="I1032" s="1" t="s">
        <v>36</v>
      </c>
      <c r="J1032" s="1">
        <v>8</v>
      </c>
      <c r="K1032" s="1">
        <v>5</v>
      </c>
      <c r="L1032" s="1">
        <v>9</v>
      </c>
      <c r="M1032" s="8">
        <v>0</v>
      </c>
    </row>
    <row r="1033" spans="1:13" hidden="1" x14ac:dyDescent="0.25">
      <c r="A1033" s="7">
        <v>13</v>
      </c>
      <c r="B1033" s="1" t="s">
        <v>37</v>
      </c>
      <c r="C1033" s="1">
        <v>2.2000000000000002</v>
      </c>
      <c r="D1033" s="1" t="s">
        <v>41</v>
      </c>
      <c r="E1033" s="1">
        <v>7.7</v>
      </c>
      <c r="F1033" s="1">
        <v>2.1</v>
      </c>
      <c r="G1033" s="1">
        <v>2.33</v>
      </c>
      <c r="H1033" s="1">
        <v>1.7</v>
      </c>
      <c r="I1033" s="1" t="s">
        <v>36</v>
      </c>
      <c r="J1033" s="1">
        <v>2</v>
      </c>
      <c r="K1033" s="1">
        <v>8</v>
      </c>
      <c r="L1033" s="1">
        <v>7</v>
      </c>
      <c r="M1033" s="8">
        <v>0</v>
      </c>
    </row>
    <row r="1034" spans="1:13" hidden="1" x14ac:dyDescent="0.25">
      <c r="A1034" s="7">
        <v>16</v>
      </c>
      <c r="B1034" s="1" t="s">
        <v>37</v>
      </c>
      <c r="C1034" s="1">
        <v>5.9</v>
      </c>
      <c r="D1034" s="1" t="s">
        <v>38</v>
      </c>
      <c r="E1034" s="1">
        <v>7</v>
      </c>
      <c r="F1034" s="1">
        <v>0.8</v>
      </c>
      <c r="G1034" s="1">
        <v>2.29</v>
      </c>
      <c r="H1034" s="1">
        <v>1.6</v>
      </c>
      <c r="I1034" s="1" t="s">
        <v>36</v>
      </c>
      <c r="J1034" s="1">
        <v>6</v>
      </c>
      <c r="K1034" s="1">
        <v>8</v>
      </c>
      <c r="L1034" s="1">
        <v>1</v>
      </c>
      <c r="M1034" s="8">
        <v>0</v>
      </c>
    </row>
    <row r="1035" spans="1:13" x14ac:dyDescent="0.25">
      <c r="A1035" s="7">
        <v>15</v>
      </c>
      <c r="B1035" s="1" t="s">
        <v>37</v>
      </c>
      <c r="C1035" s="1">
        <v>2.2000000000000002</v>
      </c>
      <c r="D1035" s="1" t="s">
        <v>35</v>
      </c>
      <c r="E1035" s="1">
        <v>7.5</v>
      </c>
      <c r="F1035" s="1">
        <v>1.4</v>
      </c>
      <c r="G1035" s="1">
        <v>3.19</v>
      </c>
      <c r="H1035" s="1">
        <v>1.8</v>
      </c>
      <c r="I1035" s="1" t="s">
        <v>36</v>
      </c>
      <c r="J1035" s="1">
        <v>6</v>
      </c>
      <c r="K1035" s="1">
        <v>1</v>
      </c>
      <c r="L1035" s="1">
        <v>7</v>
      </c>
      <c r="M1035" s="8">
        <v>0</v>
      </c>
    </row>
    <row r="1036" spans="1:13" x14ac:dyDescent="0.25">
      <c r="A1036" s="7">
        <v>19</v>
      </c>
      <c r="B1036" s="1" t="s">
        <v>37</v>
      </c>
      <c r="C1036" s="1">
        <v>2.4</v>
      </c>
      <c r="D1036" s="1" t="s">
        <v>35</v>
      </c>
      <c r="E1036" s="1">
        <v>4.2</v>
      </c>
      <c r="F1036" s="1">
        <v>1.2</v>
      </c>
      <c r="G1036" s="1">
        <v>3.87</v>
      </c>
      <c r="H1036" s="1">
        <v>1.3</v>
      </c>
      <c r="I1036" s="1" t="s">
        <v>36</v>
      </c>
      <c r="J1036" s="1">
        <v>1</v>
      </c>
      <c r="K1036" s="1">
        <v>9</v>
      </c>
      <c r="L1036" s="1">
        <v>5</v>
      </c>
      <c r="M1036" s="8">
        <v>0</v>
      </c>
    </row>
    <row r="1037" spans="1:13" hidden="1" x14ac:dyDescent="0.25">
      <c r="A1037" s="7">
        <v>15</v>
      </c>
      <c r="B1037" s="1" t="s">
        <v>34</v>
      </c>
      <c r="C1037" s="1">
        <v>4.0999999999999996</v>
      </c>
      <c r="D1037" s="1" t="s">
        <v>35</v>
      </c>
      <c r="E1037" s="1">
        <v>7.6</v>
      </c>
      <c r="F1037" s="1">
        <v>1</v>
      </c>
      <c r="G1037" s="1">
        <v>2.17</v>
      </c>
      <c r="H1037" s="1">
        <v>1.1000000000000001</v>
      </c>
      <c r="I1037" s="1" t="s">
        <v>36</v>
      </c>
      <c r="J1037" s="1">
        <v>4</v>
      </c>
      <c r="K1037" s="1">
        <v>5</v>
      </c>
      <c r="L1037" s="1">
        <v>1</v>
      </c>
      <c r="M1037" s="8">
        <v>0</v>
      </c>
    </row>
    <row r="1038" spans="1:13" x14ac:dyDescent="0.25">
      <c r="A1038" s="7">
        <v>18</v>
      </c>
      <c r="B1038" s="1" t="s">
        <v>37</v>
      </c>
      <c r="C1038" s="1">
        <v>4.5</v>
      </c>
      <c r="D1038" s="1" t="s">
        <v>35</v>
      </c>
      <c r="E1038" s="1">
        <v>7</v>
      </c>
      <c r="F1038" s="1">
        <v>2.7</v>
      </c>
      <c r="G1038" s="1">
        <v>2.89</v>
      </c>
      <c r="H1038" s="1">
        <v>1.8</v>
      </c>
      <c r="I1038" s="1" t="s">
        <v>39</v>
      </c>
      <c r="J1038" s="1">
        <v>1</v>
      </c>
      <c r="K1038" s="1">
        <v>1</v>
      </c>
      <c r="L1038" s="1">
        <v>2</v>
      </c>
      <c r="M1038" s="8">
        <v>0</v>
      </c>
    </row>
    <row r="1039" spans="1:13" x14ac:dyDescent="0.25">
      <c r="A1039" s="7">
        <v>14</v>
      </c>
      <c r="B1039" s="1" t="s">
        <v>37</v>
      </c>
      <c r="C1039" s="1">
        <v>4.5999999999999996</v>
      </c>
      <c r="D1039" s="1" t="s">
        <v>35</v>
      </c>
      <c r="E1039" s="1">
        <v>5.9</v>
      </c>
      <c r="F1039" s="1">
        <v>1.4</v>
      </c>
      <c r="G1039" s="1">
        <v>2.15</v>
      </c>
      <c r="H1039" s="1">
        <v>0.3</v>
      </c>
      <c r="I1039" s="1" t="s">
        <v>39</v>
      </c>
      <c r="J1039" s="1">
        <v>3</v>
      </c>
      <c r="K1039" s="1">
        <v>10</v>
      </c>
      <c r="L1039" s="1">
        <v>2</v>
      </c>
      <c r="M1039" s="8">
        <v>0</v>
      </c>
    </row>
    <row r="1040" spans="1:13" hidden="1" x14ac:dyDescent="0.25">
      <c r="A1040" s="7">
        <v>17</v>
      </c>
      <c r="B1040" s="1" t="s">
        <v>37</v>
      </c>
      <c r="C1040" s="1">
        <v>4.5</v>
      </c>
      <c r="D1040" s="1" t="s">
        <v>41</v>
      </c>
      <c r="E1040" s="1">
        <v>6.1</v>
      </c>
      <c r="F1040" s="1">
        <v>2.8</v>
      </c>
      <c r="G1040" s="1">
        <v>3.38</v>
      </c>
      <c r="H1040" s="1">
        <v>1.2</v>
      </c>
      <c r="I1040" s="1" t="s">
        <v>36</v>
      </c>
      <c r="J1040" s="1">
        <v>10</v>
      </c>
      <c r="K1040" s="1">
        <v>4</v>
      </c>
      <c r="L1040" s="1">
        <v>2</v>
      </c>
      <c r="M1040" s="8">
        <v>0</v>
      </c>
    </row>
    <row r="1041" spans="1:13" hidden="1" x14ac:dyDescent="0.25">
      <c r="A1041" s="7">
        <v>13</v>
      </c>
      <c r="B1041" s="1" t="s">
        <v>34</v>
      </c>
      <c r="C1041" s="1">
        <v>5</v>
      </c>
      <c r="D1041" s="1" t="s">
        <v>35</v>
      </c>
      <c r="E1041" s="1">
        <v>5.2</v>
      </c>
      <c r="F1041" s="1">
        <v>2.6</v>
      </c>
      <c r="G1041" s="1">
        <v>2.04</v>
      </c>
      <c r="H1041" s="1">
        <v>1.7</v>
      </c>
      <c r="I1041" s="1" t="s">
        <v>40</v>
      </c>
      <c r="J1041" s="1">
        <v>4</v>
      </c>
      <c r="K1041" s="1">
        <v>4</v>
      </c>
      <c r="L1041" s="1">
        <v>5</v>
      </c>
      <c r="M1041" s="8">
        <v>0</v>
      </c>
    </row>
    <row r="1042" spans="1:13" hidden="1" x14ac:dyDescent="0.25">
      <c r="A1042" s="7">
        <v>19</v>
      </c>
      <c r="B1042" s="1" t="s">
        <v>37</v>
      </c>
      <c r="C1042" s="1">
        <v>4.0999999999999996</v>
      </c>
      <c r="D1042" s="1" t="s">
        <v>41</v>
      </c>
      <c r="E1042" s="1">
        <v>6.4</v>
      </c>
      <c r="F1042" s="1">
        <v>1.4</v>
      </c>
      <c r="G1042" s="1">
        <v>2.2599999999999998</v>
      </c>
      <c r="H1042" s="1">
        <v>1.6</v>
      </c>
      <c r="I1042" s="1" t="s">
        <v>39</v>
      </c>
      <c r="J1042" s="1">
        <v>2</v>
      </c>
      <c r="K1042" s="1">
        <v>3</v>
      </c>
      <c r="L1042" s="1">
        <v>6</v>
      </c>
      <c r="M1042" s="8">
        <v>0</v>
      </c>
    </row>
    <row r="1043" spans="1:13" hidden="1" x14ac:dyDescent="0.25">
      <c r="A1043" s="7">
        <v>18</v>
      </c>
      <c r="B1043" s="1" t="s">
        <v>34</v>
      </c>
      <c r="C1043" s="1">
        <v>7.5</v>
      </c>
      <c r="D1043" s="1" t="s">
        <v>38</v>
      </c>
      <c r="E1043" s="1">
        <v>7.6</v>
      </c>
      <c r="F1043" s="1">
        <v>1.8</v>
      </c>
      <c r="G1043" s="1">
        <v>3.19</v>
      </c>
      <c r="H1043" s="1">
        <v>1.7</v>
      </c>
      <c r="I1043" s="1" t="s">
        <v>39</v>
      </c>
      <c r="J1043" s="1">
        <v>2</v>
      </c>
      <c r="K1043" s="1">
        <v>6</v>
      </c>
      <c r="L1043" s="1">
        <v>6</v>
      </c>
      <c r="M1043" s="8">
        <v>0</v>
      </c>
    </row>
    <row r="1044" spans="1:13" hidden="1" x14ac:dyDescent="0.25">
      <c r="A1044" s="7">
        <v>18</v>
      </c>
      <c r="B1044" s="1" t="s">
        <v>34</v>
      </c>
      <c r="C1044" s="1">
        <v>4.2</v>
      </c>
      <c r="D1044" s="1" t="s">
        <v>35</v>
      </c>
      <c r="E1044" s="1">
        <v>5.5</v>
      </c>
      <c r="F1044" s="1">
        <v>1.8</v>
      </c>
      <c r="G1044" s="1">
        <v>3.83</v>
      </c>
      <c r="H1044" s="1">
        <v>1.9</v>
      </c>
      <c r="I1044" s="1" t="s">
        <v>36</v>
      </c>
      <c r="J1044" s="1">
        <v>3</v>
      </c>
      <c r="K1044" s="1">
        <v>8</v>
      </c>
      <c r="L1044" s="1">
        <v>8</v>
      </c>
      <c r="M1044" s="8">
        <v>0</v>
      </c>
    </row>
    <row r="1045" spans="1:13" hidden="1" x14ac:dyDescent="0.25">
      <c r="A1045" s="7">
        <v>14</v>
      </c>
      <c r="B1045" s="1" t="s">
        <v>37</v>
      </c>
      <c r="C1045" s="1">
        <v>7.2</v>
      </c>
      <c r="D1045" s="1" t="s">
        <v>41</v>
      </c>
      <c r="E1045" s="1">
        <v>5</v>
      </c>
      <c r="F1045" s="1">
        <v>2.9</v>
      </c>
      <c r="G1045" s="1">
        <v>3.76</v>
      </c>
      <c r="H1045" s="1">
        <v>0.4</v>
      </c>
      <c r="I1045" s="1" t="s">
        <v>40</v>
      </c>
      <c r="J1045" s="1">
        <v>7</v>
      </c>
      <c r="K1045" s="1">
        <v>4</v>
      </c>
      <c r="L1045" s="1">
        <v>2</v>
      </c>
      <c r="M1045" s="8">
        <v>0</v>
      </c>
    </row>
    <row r="1046" spans="1:13" hidden="1" x14ac:dyDescent="0.25">
      <c r="A1046" s="7">
        <v>13</v>
      </c>
      <c r="B1046" s="1" t="s">
        <v>34</v>
      </c>
      <c r="C1046" s="1">
        <v>4.8</v>
      </c>
      <c r="D1046" s="1" t="s">
        <v>35</v>
      </c>
      <c r="E1046" s="1">
        <v>6</v>
      </c>
      <c r="F1046" s="1">
        <v>0.6</v>
      </c>
      <c r="G1046" s="1">
        <v>2.41</v>
      </c>
      <c r="H1046" s="1">
        <v>0</v>
      </c>
      <c r="I1046" s="1" t="s">
        <v>39</v>
      </c>
      <c r="J1046" s="1">
        <v>3</v>
      </c>
      <c r="K1046" s="1">
        <v>6</v>
      </c>
      <c r="L1046" s="1">
        <v>9</v>
      </c>
      <c r="M1046" s="8">
        <v>0</v>
      </c>
    </row>
    <row r="1047" spans="1:13" x14ac:dyDescent="0.25">
      <c r="A1047" s="7">
        <v>17</v>
      </c>
      <c r="B1047" s="1" t="s">
        <v>37</v>
      </c>
      <c r="C1047" s="1">
        <v>7.3</v>
      </c>
      <c r="D1047" s="1" t="s">
        <v>35</v>
      </c>
      <c r="E1047" s="1">
        <v>6.7</v>
      </c>
      <c r="F1047" s="1">
        <v>1</v>
      </c>
      <c r="G1047" s="1">
        <v>3.41</v>
      </c>
      <c r="H1047" s="1">
        <v>1.7</v>
      </c>
      <c r="I1047" s="1" t="s">
        <v>40</v>
      </c>
      <c r="J1047" s="1">
        <v>6</v>
      </c>
      <c r="K1047" s="1">
        <v>5</v>
      </c>
      <c r="L1047" s="1">
        <v>2</v>
      </c>
      <c r="M1047" s="8">
        <v>0</v>
      </c>
    </row>
    <row r="1048" spans="1:13" hidden="1" x14ac:dyDescent="0.25">
      <c r="A1048" s="7">
        <v>13</v>
      </c>
      <c r="B1048" s="1" t="s">
        <v>34</v>
      </c>
      <c r="C1048" s="1">
        <v>3.9</v>
      </c>
      <c r="D1048" s="1" t="s">
        <v>41</v>
      </c>
      <c r="E1048" s="1">
        <v>4.5</v>
      </c>
      <c r="F1048" s="1">
        <v>1.6</v>
      </c>
      <c r="G1048" s="1">
        <v>2.02</v>
      </c>
      <c r="H1048" s="1">
        <v>0.6</v>
      </c>
      <c r="I1048" s="1" t="s">
        <v>39</v>
      </c>
      <c r="J1048" s="1">
        <v>6</v>
      </c>
      <c r="K1048" s="1">
        <v>6</v>
      </c>
      <c r="L1048" s="1">
        <v>5</v>
      </c>
      <c r="M1048" s="8">
        <v>0</v>
      </c>
    </row>
    <row r="1049" spans="1:13" hidden="1" x14ac:dyDescent="0.25">
      <c r="A1049" s="7">
        <v>15</v>
      </c>
      <c r="B1049" s="1" t="s">
        <v>37</v>
      </c>
      <c r="C1049" s="1">
        <v>5.5</v>
      </c>
      <c r="D1049" s="1" t="s">
        <v>41</v>
      </c>
      <c r="E1049" s="1">
        <v>4</v>
      </c>
      <c r="F1049" s="1">
        <v>2.4</v>
      </c>
      <c r="G1049" s="1">
        <v>3.01</v>
      </c>
      <c r="H1049" s="1">
        <v>0.9</v>
      </c>
      <c r="I1049" s="1" t="s">
        <v>36</v>
      </c>
      <c r="J1049" s="1">
        <v>10</v>
      </c>
      <c r="K1049" s="1">
        <v>3</v>
      </c>
      <c r="L1049" s="1">
        <v>2</v>
      </c>
      <c r="M1049" s="8">
        <v>0</v>
      </c>
    </row>
    <row r="1050" spans="1:13" hidden="1" x14ac:dyDescent="0.25">
      <c r="A1050" s="7">
        <v>15</v>
      </c>
      <c r="B1050" s="1" t="s">
        <v>34</v>
      </c>
      <c r="C1050" s="1">
        <v>7.5</v>
      </c>
      <c r="D1050" s="1" t="s">
        <v>41</v>
      </c>
      <c r="E1050" s="1">
        <v>6.3</v>
      </c>
      <c r="F1050" s="1">
        <v>2.8</v>
      </c>
      <c r="G1050" s="1">
        <v>3.04</v>
      </c>
      <c r="H1050" s="1">
        <v>1.8</v>
      </c>
      <c r="I1050" s="1" t="s">
        <v>36</v>
      </c>
      <c r="J1050" s="1">
        <v>1</v>
      </c>
      <c r="K1050" s="1">
        <v>5</v>
      </c>
      <c r="L1050" s="1">
        <v>8</v>
      </c>
      <c r="M1050" s="8">
        <v>0</v>
      </c>
    </row>
    <row r="1051" spans="1:13" hidden="1" x14ac:dyDescent="0.25">
      <c r="A1051" s="7">
        <v>17</v>
      </c>
      <c r="B1051" s="1" t="s">
        <v>34</v>
      </c>
      <c r="C1051" s="1">
        <v>1.8</v>
      </c>
      <c r="D1051" s="1" t="s">
        <v>35</v>
      </c>
      <c r="E1051" s="1">
        <v>6.9</v>
      </c>
      <c r="F1051" s="1">
        <v>2.7</v>
      </c>
      <c r="G1051" s="1">
        <v>2.5299999999999998</v>
      </c>
      <c r="H1051" s="1">
        <v>1.7</v>
      </c>
      <c r="I1051" s="1" t="s">
        <v>39</v>
      </c>
      <c r="J1051" s="1">
        <v>2</v>
      </c>
      <c r="K1051" s="1">
        <v>2</v>
      </c>
      <c r="L1051" s="1">
        <v>7</v>
      </c>
      <c r="M1051" s="8">
        <v>0</v>
      </c>
    </row>
    <row r="1052" spans="1:13" hidden="1" x14ac:dyDescent="0.25">
      <c r="A1052" s="7">
        <v>16</v>
      </c>
      <c r="B1052" s="1" t="s">
        <v>34</v>
      </c>
      <c r="C1052" s="1">
        <v>2.6</v>
      </c>
      <c r="D1052" s="1" t="s">
        <v>35</v>
      </c>
      <c r="E1052" s="1">
        <v>5.0999999999999996</v>
      </c>
      <c r="F1052" s="1">
        <v>0.9</v>
      </c>
      <c r="G1052" s="1">
        <v>2.57</v>
      </c>
      <c r="H1052" s="1">
        <v>1.4</v>
      </c>
      <c r="I1052" s="1" t="s">
        <v>40</v>
      </c>
      <c r="J1052" s="1">
        <v>8</v>
      </c>
      <c r="K1052" s="1">
        <v>5</v>
      </c>
      <c r="L1052" s="1">
        <v>8</v>
      </c>
      <c r="M1052" s="8">
        <v>0</v>
      </c>
    </row>
    <row r="1053" spans="1:13" hidden="1" x14ac:dyDescent="0.25">
      <c r="A1053" s="7">
        <v>17</v>
      </c>
      <c r="B1053" s="1" t="s">
        <v>37</v>
      </c>
      <c r="C1053" s="1">
        <v>5.5</v>
      </c>
      <c r="D1053" s="1" t="s">
        <v>41</v>
      </c>
      <c r="E1053" s="1">
        <v>6</v>
      </c>
      <c r="F1053" s="1">
        <v>2.8</v>
      </c>
      <c r="G1053" s="1">
        <v>3.4</v>
      </c>
      <c r="H1053" s="1">
        <v>0</v>
      </c>
      <c r="I1053" s="1" t="s">
        <v>40</v>
      </c>
      <c r="J1053" s="1">
        <v>2</v>
      </c>
      <c r="K1053" s="1">
        <v>3</v>
      </c>
      <c r="L1053" s="1">
        <v>8</v>
      </c>
      <c r="M1053" s="8">
        <v>0</v>
      </c>
    </row>
    <row r="1054" spans="1:13" hidden="1" x14ac:dyDescent="0.25">
      <c r="A1054" s="7">
        <v>15</v>
      </c>
      <c r="B1054" s="1" t="s">
        <v>37</v>
      </c>
      <c r="C1054" s="1">
        <v>3.6</v>
      </c>
      <c r="D1054" s="1" t="s">
        <v>38</v>
      </c>
      <c r="E1054" s="1">
        <v>7.1</v>
      </c>
      <c r="F1054" s="1">
        <v>0.9</v>
      </c>
      <c r="G1054" s="1">
        <v>2.84</v>
      </c>
      <c r="H1054" s="1">
        <v>0.3</v>
      </c>
      <c r="I1054" s="1" t="s">
        <v>36</v>
      </c>
      <c r="J1054" s="1">
        <v>1</v>
      </c>
      <c r="K1054" s="1">
        <v>9</v>
      </c>
      <c r="L1054" s="1">
        <v>4</v>
      </c>
      <c r="M1054" s="8">
        <v>0</v>
      </c>
    </row>
    <row r="1055" spans="1:13" hidden="1" x14ac:dyDescent="0.25">
      <c r="A1055" s="7">
        <v>19</v>
      </c>
      <c r="B1055" s="1" t="s">
        <v>37</v>
      </c>
      <c r="C1055" s="1">
        <v>7.6</v>
      </c>
      <c r="D1055" s="1" t="s">
        <v>41</v>
      </c>
      <c r="E1055" s="1">
        <v>5.4</v>
      </c>
      <c r="F1055" s="1">
        <v>1.9</v>
      </c>
      <c r="G1055" s="1">
        <v>2.56</v>
      </c>
      <c r="H1055" s="1">
        <v>1.4</v>
      </c>
      <c r="I1055" s="1" t="s">
        <v>36</v>
      </c>
      <c r="J1055" s="1">
        <v>2</v>
      </c>
      <c r="K1055" s="1">
        <v>7</v>
      </c>
      <c r="L1055" s="1">
        <v>9</v>
      </c>
      <c r="M1055" s="8">
        <v>0</v>
      </c>
    </row>
    <row r="1056" spans="1:13" hidden="1" x14ac:dyDescent="0.25">
      <c r="A1056" s="7">
        <v>13</v>
      </c>
      <c r="B1056" s="1" t="s">
        <v>34</v>
      </c>
      <c r="C1056" s="1">
        <v>7.9</v>
      </c>
      <c r="D1056" s="1" t="s">
        <v>35</v>
      </c>
      <c r="E1056" s="1">
        <v>7.1</v>
      </c>
      <c r="F1056" s="1">
        <v>0.7</v>
      </c>
      <c r="G1056" s="1">
        <v>2.8</v>
      </c>
      <c r="H1056" s="1">
        <v>0.3</v>
      </c>
      <c r="I1056" s="1" t="s">
        <v>40</v>
      </c>
      <c r="J1056" s="1">
        <v>6</v>
      </c>
      <c r="K1056" s="1">
        <v>8</v>
      </c>
      <c r="L1056" s="1">
        <v>8</v>
      </c>
      <c r="M1056" s="8">
        <v>0</v>
      </c>
    </row>
    <row r="1057" spans="1:13" hidden="1" x14ac:dyDescent="0.25">
      <c r="A1057" s="7">
        <v>15</v>
      </c>
      <c r="B1057" s="1" t="s">
        <v>34</v>
      </c>
      <c r="C1057" s="1">
        <v>2.6</v>
      </c>
      <c r="D1057" s="1" t="s">
        <v>41</v>
      </c>
      <c r="E1057" s="1">
        <v>6.8</v>
      </c>
      <c r="F1057" s="1">
        <v>1.7</v>
      </c>
      <c r="G1057" s="1">
        <v>2.06</v>
      </c>
      <c r="H1057" s="1">
        <v>0.4</v>
      </c>
      <c r="I1057" s="1" t="s">
        <v>40</v>
      </c>
      <c r="J1057" s="1">
        <v>8</v>
      </c>
      <c r="K1057" s="1">
        <v>6</v>
      </c>
      <c r="L1057" s="1">
        <v>6</v>
      </c>
      <c r="M1057" s="8">
        <v>0</v>
      </c>
    </row>
    <row r="1058" spans="1:13" hidden="1" x14ac:dyDescent="0.25">
      <c r="A1058" s="7">
        <v>19</v>
      </c>
      <c r="B1058" s="1" t="s">
        <v>34</v>
      </c>
      <c r="C1058" s="1">
        <v>5.7</v>
      </c>
      <c r="D1058" s="1" t="s">
        <v>38</v>
      </c>
      <c r="E1058" s="1">
        <v>6.4</v>
      </c>
      <c r="F1058" s="1">
        <v>0.9</v>
      </c>
      <c r="G1058" s="1">
        <v>3.57</v>
      </c>
      <c r="H1058" s="1">
        <v>1.5</v>
      </c>
      <c r="I1058" s="1" t="s">
        <v>39</v>
      </c>
      <c r="J1058" s="1">
        <v>3</v>
      </c>
      <c r="K1058" s="1">
        <v>7</v>
      </c>
      <c r="L1058" s="1">
        <v>2</v>
      </c>
      <c r="M1058" s="8">
        <v>0</v>
      </c>
    </row>
    <row r="1059" spans="1:13" x14ac:dyDescent="0.25">
      <c r="A1059" s="7">
        <v>13</v>
      </c>
      <c r="B1059" s="1" t="s">
        <v>37</v>
      </c>
      <c r="C1059" s="1">
        <v>7.1</v>
      </c>
      <c r="D1059" s="1" t="s">
        <v>35</v>
      </c>
      <c r="E1059" s="1">
        <v>5.7</v>
      </c>
      <c r="F1059" s="1">
        <v>1.2</v>
      </c>
      <c r="G1059" s="1">
        <v>3.83</v>
      </c>
      <c r="H1059" s="1">
        <v>2</v>
      </c>
      <c r="I1059" s="1" t="s">
        <v>40</v>
      </c>
      <c r="J1059" s="1">
        <v>2</v>
      </c>
      <c r="K1059" s="1">
        <v>8</v>
      </c>
      <c r="L1059" s="1">
        <v>7</v>
      </c>
      <c r="M1059" s="8">
        <v>0</v>
      </c>
    </row>
    <row r="1060" spans="1:13" hidden="1" x14ac:dyDescent="0.25">
      <c r="A1060" s="7">
        <v>13</v>
      </c>
      <c r="B1060" s="1" t="s">
        <v>37</v>
      </c>
      <c r="C1060" s="1">
        <v>1.3</v>
      </c>
      <c r="D1060" s="1" t="s">
        <v>38</v>
      </c>
      <c r="E1060" s="1">
        <v>8.6999999999999993</v>
      </c>
      <c r="F1060" s="1">
        <v>0.9</v>
      </c>
      <c r="G1060" s="1">
        <v>4</v>
      </c>
      <c r="H1060" s="1">
        <v>0.1</v>
      </c>
      <c r="I1060" s="1" t="s">
        <v>36</v>
      </c>
      <c r="J1060" s="1">
        <v>10</v>
      </c>
      <c r="K1060" s="1">
        <v>9</v>
      </c>
      <c r="L1060" s="1">
        <v>9</v>
      </c>
      <c r="M1060" s="8">
        <v>0</v>
      </c>
    </row>
    <row r="1061" spans="1:13" hidden="1" x14ac:dyDescent="0.25">
      <c r="A1061" s="7">
        <v>13</v>
      </c>
      <c r="B1061" s="1" t="s">
        <v>37</v>
      </c>
      <c r="C1061" s="1">
        <v>1.1000000000000001</v>
      </c>
      <c r="D1061" s="1" t="s">
        <v>41</v>
      </c>
      <c r="E1061" s="1">
        <v>6.7</v>
      </c>
      <c r="F1061" s="1">
        <v>2</v>
      </c>
      <c r="G1061" s="1">
        <v>3.63</v>
      </c>
      <c r="H1061" s="1">
        <v>0.2</v>
      </c>
      <c r="I1061" s="1" t="s">
        <v>40</v>
      </c>
      <c r="J1061" s="1">
        <v>3</v>
      </c>
      <c r="K1061" s="1">
        <v>10</v>
      </c>
      <c r="L1061" s="1">
        <v>5</v>
      </c>
      <c r="M1061" s="8">
        <v>0</v>
      </c>
    </row>
    <row r="1062" spans="1:13" hidden="1" x14ac:dyDescent="0.25">
      <c r="A1062" s="7">
        <v>13</v>
      </c>
      <c r="B1062" s="1" t="s">
        <v>37</v>
      </c>
      <c r="C1062" s="1">
        <v>3.3</v>
      </c>
      <c r="D1062" s="1" t="s">
        <v>38</v>
      </c>
      <c r="E1062" s="1">
        <v>9</v>
      </c>
      <c r="F1062" s="1">
        <v>0.7</v>
      </c>
      <c r="G1062" s="1">
        <v>2.4900000000000002</v>
      </c>
      <c r="H1062" s="1">
        <v>0.6</v>
      </c>
      <c r="I1062" s="1" t="s">
        <v>40</v>
      </c>
      <c r="J1062" s="1">
        <v>3</v>
      </c>
      <c r="K1062" s="1">
        <v>6</v>
      </c>
      <c r="L1062" s="1">
        <v>4</v>
      </c>
      <c r="M1062" s="8">
        <v>0</v>
      </c>
    </row>
    <row r="1063" spans="1:13" hidden="1" x14ac:dyDescent="0.25">
      <c r="A1063" s="7">
        <v>16</v>
      </c>
      <c r="B1063" s="1" t="s">
        <v>34</v>
      </c>
      <c r="C1063" s="1">
        <v>7.4</v>
      </c>
      <c r="D1063" s="1" t="s">
        <v>41</v>
      </c>
      <c r="E1063" s="1">
        <v>7.2</v>
      </c>
      <c r="F1063" s="1">
        <v>1.8</v>
      </c>
      <c r="G1063" s="1">
        <v>2.11</v>
      </c>
      <c r="H1063" s="1">
        <v>1.4</v>
      </c>
      <c r="I1063" s="1" t="s">
        <v>40</v>
      </c>
      <c r="J1063" s="1">
        <v>3</v>
      </c>
      <c r="K1063" s="1">
        <v>7</v>
      </c>
      <c r="L1063" s="1">
        <v>3</v>
      </c>
      <c r="M1063" s="8">
        <v>0</v>
      </c>
    </row>
    <row r="1064" spans="1:13" hidden="1" x14ac:dyDescent="0.25">
      <c r="A1064" s="7">
        <v>13</v>
      </c>
      <c r="B1064" s="1" t="s">
        <v>34</v>
      </c>
      <c r="C1064" s="1">
        <v>5.8</v>
      </c>
      <c r="D1064" s="1" t="s">
        <v>38</v>
      </c>
      <c r="E1064" s="1">
        <v>8.3000000000000007</v>
      </c>
      <c r="F1064" s="1">
        <v>2.8</v>
      </c>
      <c r="G1064" s="1">
        <v>2.63</v>
      </c>
      <c r="H1064" s="1">
        <v>0.6</v>
      </c>
      <c r="I1064" s="1" t="s">
        <v>39</v>
      </c>
      <c r="J1064" s="1">
        <v>5</v>
      </c>
      <c r="K1064" s="1">
        <v>3</v>
      </c>
      <c r="L1064" s="1">
        <v>7</v>
      </c>
      <c r="M1064" s="8">
        <v>0</v>
      </c>
    </row>
    <row r="1065" spans="1:13" hidden="1" x14ac:dyDescent="0.25">
      <c r="A1065" s="7">
        <v>18</v>
      </c>
      <c r="B1065" s="1" t="s">
        <v>37</v>
      </c>
      <c r="C1065" s="1">
        <v>4.5999999999999996</v>
      </c>
      <c r="D1065" s="1" t="s">
        <v>38</v>
      </c>
      <c r="E1065" s="1">
        <v>6.8</v>
      </c>
      <c r="F1065" s="1">
        <v>1.5</v>
      </c>
      <c r="G1065" s="1">
        <v>2.4</v>
      </c>
      <c r="H1065" s="1">
        <v>1.4</v>
      </c>
      <c r="I1065" s="1" t="s">
        <v>40</v>
      </c>
      <c r="J1065" s="1">
        <v>5</v>
      </c>
      <c r="K1065" s="1">
        <v>10</v>
      </c>
      <c r="L1065" s="1">
        <v>2</v>
      </c>
      <c r="M1065" s="8">
        <v>0</v>
      </c>
    </row>
    <row r="1066" spans="1:13" hidden="1" x14ac:dyDescent="0.25">
      <c r="A1066" s="7">
        <v>18</v>
      </c>
      <c r="B1066" s="1" t="s">
        <v>37</v>
      </c>
      <c r="C1066" s="1">
        <v>2.5</v>
      </c>
      <c r="D1066" s="1" t="s">
        <v>38</v>
      </c>
      <c r="E1066" s="1">
        <v>7.1</v>
      </c>
      <c r="F1066" s="1">
        <v>1.6</v>
      </c>
      <c r="G1066" s="1">
        <v>3.97</v>
      </c>
      <c r="H1066" s="1">
        <v>0.7</v>
      </c>
      <c r="I1066" s="1" t="s">
        <v>40</v>
      </c>
      <c r="J1066" s="1">
        <v>10</v>
      </c>
      <c r="K1066" s="1">
        <v>7</v>
      </c>
      <c r="L1066" s="1">
        <v>3</v>
      </c>
      <c r="M1066" s="8">
        <v>0</v>
      </c>
    </row>
    <row r="1067" spans="1:13" hidden="1" x14ac:dyDescent="0.25">
      <c r="A1067" s="7">
        <v>18</v>
      </c>
      <c r="B1067" s="1" t="s">
        <v>34</v>
      </c>
      <c r="C1067" s="1">
        <v>4</v>
      </c>
      <c r="D1067" s="1" t="s">
        <v>41</v>
      </c>
      <c r="E1067" s="1">
        <v>8</v>
      </c>
      <c r="F1067" s="1">
        <v>2</v>
      </c>
      <c r="G1067" s="1">
        <v>3.04</v>
      </c>
      <c r="H1067" s="1">
        <v>1.4</v>
      </c>
      <c r="I1067" s="1" t="s">
        <v>39</v>
      </c>
      <c r="J1067" s="1">
        <v>3</v>
      </c>
      <c r="K1067" s="1">
        <v>1</v>
      </c>
      <c r="L1067" s="1">
        <v>8</v>
      </c>
      <c r="M1067" s="8">
        <v>0</v>
      </c>
    </row>
    <row r="1068" spans="1:13" hidden="1" x14ac:dyDescent="0.25">
      <c r="A1068" s="7">
        <v>17</v>
      </c>
      <c r="B1068" s="1" t="s">
        <v>37</v>
      </c>
      <c r="C1068" s="1">
        <v>6.6</v>
      </c>
      <c r="D1068" s="1" t="s">
        <v>41</v>
      </c>
      <c r="E1068" s="1">
        <v>8</v>
      </c>
      <c r="F1068" s="1">
        <v>1.9</v>
      </c>
      <c r="G1068" s="1">
        <v>2.86</v>
      </c>
      <c r="H1068" s="1">
        <v>0.4</v>
      </c>
      <c r="I1068" s="1" t="s">
        <v>40</v>
      </c>
      <c r="J1068" s="1">
        <v>4</v>
      </c>
      <c r="K1068" s="1">
        <v>8</v>
      </c>
      <c r="L1068" s="1">
        <v>5</v>
      </c>
      <c r="M1068" s="8">
        <v>0</v>
      </c>
    </row>
    <row r="1069" spans="1:13" hidden="1" x14ac:dyDescent="0.25">
      <c r="A1069" s="7">
        <v>14</v>
      </c>
      <c r="B1069" s="1" t="s">
        <v>37</v>
      </c>
      <c r="C1069" s="1">
        <v>2.9</v>
      </c>
      <c r="D1069" s="1" t="s">
        <v>38</v>
      </c>
      <c r="E1069" s="1">
        <v>5.8</v>
      </c>
      <c r="F1069" s="1">
        <v>1.6</v>
      </c>
      <c r="G1069" s="1">
        <v>3.34</v>
      </c>
      <c r="H1069" s="1">
        <v>1.1000000000000001</v>
      </c>
      <c r="I1069" s="1" t="s">
        <v>40</v>
      </c>
      <c r="J1069" s="1">
        <v>6</v>
      </c>
      <c r="K1069" s="1">
        <v>10</v>
      </c>
      <c r="L1069" s="1">
        <v>3</v>
      </c>
      <c r="M1069" s="8">
        <v>0</v>
      </c>
    </row>
    <row r="1070" spans="1:13" hidden="1" x14ac:dyDescent="0.25">
      <c r="A1070" s="7">
        <v>14</v>
      </c>
      <c r="B1070" s="1" t="s">
        <v>34</v>
      </c>
      <c r="C1070" s="1">
        <v>7.2</v>
      </c>
      <c r="D1070" s="1" t="s">
        <v>38</v>
      </c>
      <c r="E1070" s="1">
        <v>5.7</v>
      </c>
      <c r="F1070" s="1">
        <v>2.7</v>
      </c>
      <c r="G1070" s="1">
        <v>2.76</v>
      </c>
      <c r="H1070" s="1">
        <v>0.4</v>
      </c>
      <c r="I1070" s="1" t="s">
        <v>36</v>
      </c>
      <c r="J1070" s="1">
        <v>7</v>
      </c>
      <c r="K1070" s="1">
        <v>3</v>
      </c>
      <c r="L1070" s="1">
        <v>7</v>
      </c>
      <c r="M1070" s="8">
        <v>0</v>
      </c>
    </row>
    <row r="1071" spans="1:13" x14ac:dyDescent="0.25">
      <c r="A1071" s="7">
        <v>13</v>
      </c>
      <c r="B1071" s="1" t="s">
        <v>37</v>
      </c>
      <c r="C1071" s="1">
        <v>2.9</v>
      </c>
      <c r="D1071" s="1" t="s">
        <v>35</v>
      </c>
      <c r="E1071" s="1">
        <v>5.3</v>
      </c>
      <c r="F1071" s="1">
        <v>1</v>
      </c>
      <c r="G1071" s="1">
        <v>3.89</v>
      </c>
      <c r="H1071" s="1">
        <v>1.7</v>
      </c>
      <c r="I1071" s="1" t="s">
        <v>39</v>
      </c>
      <c r="J1071" s="1">
        <v>9</v>
      </c>
      <c r="K1071" s="1">
        <v>2</v>
      </c>
      <c r="L1071" s="1">
        <v>4</v>
      </c>
      <c r="M1071" s="8">
        <v>0</v>
      </c>
    </row>
    <row r="1072" spans="1:13" hidden="1" x14ac:dyDescent="0.25">
      <c r="A1072" s="7">
        <v>15</v>
      </c>
      <c r="B1072" s="1" t="s">
        <v>37</v>
      </c>
      <c r="C1072" s="1">
        <v>7.3</v>
      </c>
      <c r="D1072" s="1" t="s">
        <v>41</v>
      </c>
      <c r="E1072" s="1">
        <v>5.7</v>
      </c>
      <c r="F1072" s="1">
        <v>2.9</v>
      </c>
      <c r="G1072" s="1">
        <v>3.48</v>
      </c>
      <c r="H1072" s="1">
        <v>1.8</v>
      </c>
      <c r="I1072" s="1" t="s">
        <v>40</v>
      </c>
      <c r="J1072" s="1">
        <v>2</v>
      </c>
      <c r="K1072" s="1">
        <v>7</v>
      </c>
      <c r="L1072" s="1">
        <v>8</v>
      </c>
      <c r="M1072" s="8">
        <v>0</v>
      </c>
    </row>
    <row r="1073" spans="1:13" hidden="1" x14ac:dyDescent="0.25">
      <c r="A1073" s="7">
        <v>16</v>
      </c>
      <c r="B1073" s="1" t="s">
        <v>37</v>
      </c>
      <c r="C1073" s="1">
        <v>3.7</v>
      </c>
      <c r="D1073" s="1" t="s">
        <v>38</v>
      </c>
      <c r="E1073" s="1">
        <v>9</v>
      </c>
      <c r="F1073" s="1">
        <v>1.5</v>
      </c>
      <c r="G1073" s="1">
        <v>3.37</v>
      </c>
      <c r="H1073" s="1">
        <v>1.9</v>
      </c>
      <c r="I1073" s="1" t="s">
        <v>36</v>
      </c>
      <c r="J1073" s="1">
        <v>4</v>
      </c>
      <c r="K1073" s="1">
        <v>3</v>
      </c>
      <c r="L1073" s="1">
        <v>1</v>
      </c>
      <c r="M1073" s="8">
        <v>0</v>
      </c>
    </row>
    <row r="1074" spans="1:13" hidden="1" x14ac:dyDescent="0.25">
      <c r="A1074" s="7">
        <v>16</v>
      </c>
      <c r="B1074" s="1" t="s">
        <v>34</v>
      </c>
      <c r="C1074" s="1">
        <v>7</v>
      </c>
      <c r="D1074" s="1" t="s">
        <v>35</v>
      </c>
      <c r="E1074" s="1">
        <v>4.8</v>
      </c>
      <c r="F1074" s="1">
        <v>1.7</v>
      </c>
      <c r="G1074" s="1">
        <v>2.9</v>
      </c>
      <c r="H1074" s="1">
        <v>0.3</v>
      </c>
      <c r="I1074" s="1" t="s">
        <v>36</v>
      </c>
      <c r="J1074" s="1">
        <v>4</v>
      </c>
      <c r="K1074" s="1">
        <v>1</v>
      </c>
      <c r="L1074" s="1">
        <v>8</v>
      </c>
      <c r="M1074" s="8">
        <v>0</v>
      </c>
    </row>
    <row r="1075" spans="1:13" hidden="1" x14ac:dyDescent="0.25">
      <c r="A1075" s="7">
        <v>15</v>
      </c>
      <c r="B1075" s="1" t="s">
        <v>34</v>
      </c>
      <c r="C1075" s="1">
        <v>4</v>
      </c>
      <c r="D1075" s="1" t="s">
        <v>38</v>
      </c>
      <c r="E1075" s="1">
        <v>8.4</v>
      </c>
      <c r="F1075" s="1">
        <v>2.2999999999999998</v>
      </c>
      <c r="G1075" s="1">
        <v>2.52</v>
      </c>
      <c r="H1075" s="1">
        <v>0.9</v>
      </c>
      <c r="I1075" s="1" t="s">
        <v>36</v>
      </c>
      <c r="J1075" s="1">
        <v>4</v>
      </c>
      <c r="K1075" s="1">
        <v>5</v>
      </c>
      <c r="L1075" s="1">
        <v>3</v>
      </c>
      <c r="M1075" s="8">
        <v>0</v>
      </c>
    </row>
    <row r="1076" spans="1:13" hidden="1" x14ac:dyDescent="0.25">
      <c r="A1076" s="7">
        <v>16</v>
      </c>
      <c r="B1076" s="1" t="s">
        <v>34</v>
      </c>
      <c r="C1076" s="1">
        <v>2.7</v>
      </c>
      <c r="D1076" s="1" t="s">
        <v>41</v>
      </c>
      <c r="E1076" s="1">
        <v>7.5</v>
      </c>
      <c r="F1076" s="1">
        <v>2.8</v>
      </c>
      <c r="G1076" s="1">
        <v>3.53</v>
      </c>
      <c r="H1076" s="1">
        <v>0.9</v>
      </c>
      <c r="I1076" s="1" t="s">
        <v>40</v>
      </c>
      <c r="J1076" s="1">
        <v>3</v>
      </c>
      <c r="K1076" s="1">
        <v>1</v>
      </c>
      <c r="L1076" s="1">
        <v>5</v>
      </c>
      <c r="M1076" s="8">
        <v>0</v>
      </c>
    </row>
    <row r="1077" spans="1:13" hidden="1" x14ac:dyDescent="0.25">
      <c r="A1077" s="7">
        <v>15</v>
      </c>
      <c r="B1077" s="1" t="s">
        <v>34</v>
      </c>
      <c r="C1077" s="1">
        <v>7.2</v>
      </c>
      <c r="D1077" s="1" t="s">
        <v>41</v>
      </c>
      <c r="E1077" s="1">
        <v>5.7</v>
      </c>
      <c r="F1077" s="1">
        <v>0.7</v>
      </c>
      <c r="G1077" s="1">
        <v>3.89</v>
      </c>
      <c r="H1077" s="1">
        <v>1</v>
      </c>
      <c r="I1077" s="1" t="s">
        <v>40</v>
      </c>
      <c r="J1077" s="1">
        <v>1</v>
      </c>
      <c r="K1077" s="1">
        <v>3</v>
      </c>
      <c r="L1077" s="1">
        <v>6</v>
      </c>
      <c r="M1077" s="8">
        <v>0</v>
      </c>
    </row>
    <row r="1078" spans="1:13" hidden="1" x14ac:dyDescent="0.25">
      <c r="A1078" s="7">
        <v>18</v>
      </c>
      <c r="B1078" s="1" t="s">
        <v>34</v>
      </c>
      <c r="C1078" s="1">
        <v>7.9</v>
      </c>
      <c r="D1078" s="1" t="s">
        <v>41</v>
      </c>
      <c r="E1078" s="1">
        <v>7</v>
      </c>
      <c r="F1078" s="1">
        <v>2.7</v>
      </c>
      <c r="G1078" s="1">
        <v>3.9</v>
      </c>
      <c r="H1078" s="1">
        <v>1</v>
      </c>
      <c r="I1078" s="1" t="s">
        <v>40</v>
      </c>
      <c r="J1078" s="1">
        <v>1</v>
      </c>
      <c r="K1078" s="1">
        <v>2</v>
      </c>
      <c r="L1078" s="1">
        <v>10</v>
      </c>
      <c r="M1078" s="8">
        <v>0</v>
      </c>
    </row>
    <row r="1079" spans="1:13" x14ac:dyDescent="0.25">
      <c r="A1079" s="7">
        <v>14</v>
      </c>
      <c r="B1079" s="1" t="s">
        <v>37</v>
      </c>
      <c r="C1079" s="1">
        <v>5.0999999999999996</v>
      </c>
      <c r="D1079" s="1" t="s">
        <v>35</v>
      </c>
      <c r="E1079" s="1">
        <v>5.3</v>
      </c>
      <c r="F1079" s="1">
        <v>2.2999999999999998</v>
      </c>
      <c r="G1079" s="1">
        <v>2.31</v>
      </c>
      <c r="H1079" s="1">
        <v>0.2</v>
      </c>
      <c r="I1079" s="1" t="s">
        <v>39</v>
      </c>
      <c r="J1079" s="1">
        <v>3</v>
      </c>
      <c r="K1079" s="1">
        <v>3</v>
      </c>
      <c r="L1079" s="1">
        <v>6</v>
      </c>
      <c r="M1079" s="8">
        <v>0</v>
      </c>
    </row>
    <row r="1080" spans="1:13" hidden="1" x14ac:dyDescent="0.25">
      <c r="A1080" s="7">
        <v>15</v>
      </c>
      <c r="B1080" s="1" t="s">
        <v>37</v>
      </c>
      <c r="C1080" s="1">
        <v>6.4</v>
      </c>
      <c r="D1080" s="1" t="s">
        <v>41</v>
      </c>
      <c r="E1080" s="1">
        <v>7.7</v>
      </c>
      <c r="F1080" s="1">
        <v>0.7</v>
      </c>
      <c r="G1080" s="1">
        <v>3.86</v>
      </c>
      <c r="H1080" s="1">
        <v>1.5</v>
      </c>
      <c r="I1080" s="1" t="s">
        <v>39</v>
      </c>
      <c r="J1080" s="1">
        <v>10</v>
      </c>
      <c r="K1080" s="1">
        <v>2</v>
      </c>
      <c r="L1080" s="1">
        <v>7</v>
      </c>
      <c r="M1080" s="8">
        <v>0</v>
      </c>
    </row>
    <row r="1081" spans="1:13" hidden="1" x14ac:dyDescent="0.25">
      <c r="A1081" s="7">
        <v>16</v>
      </c>
      <c r="B1081" s="1" t="s">
        <v>37</v>
      </c>
      <c r="C1081" s="1">
        <v>4.4000000000000004</v>
      </c>
      <c r="D1081" s="1" t="s">
        <v>41</v>
      </c>
      <c r="E1081" s="1">
        <v>4.2</v>
      </c>
      <c r="F1081" s="1">
        <v>2</v>
      </c>
      <c r="G1081" s="1">
        <v>3.89</v>
      </c>
      <c r="H1081" s="1">
        <v>1.1000000000000001</v>
      </c>
      <c r="I1081" s="1" t="s">
        <v>40</v>
      </c>
      <c r="J1081" s="1">
        <v>2</v>
      </c>
      <c r="K1081" s="1">
        <v>9</v>
      </c>
      <c r="L1081" s="1">
        <v>8</v>
      </c>
      <c r="M1081" s="8">
        <v>0</v>
      </c>
    </row>
    <row r="1082" spans="1:13" hidden="1" x14ac:dyDescent="0.25">
      <c r="A1082" s="7">
        <v>16</v>
      </c>
      <c r="B1082" s="1" t="s">
        <v>34</v>
      </c>
      <c r="C1082" s="1">
        <v>7</v>
      </c>
      <c r="D1082" s="1" t="s">
        <v>38</v>
      </c>
      <c r="E1082" s="1">
        <v>7.4</v>
      </c>
      <c r="F1082" s="1">
        <v>2.6</v>
      </c>
      <c r="G1082" s="1">
        <v>2.92</v>
      </c>
      <c r="H1082" s="1">
        <v>1</v>
      </c>
      <c r="I1082" s="1" t="s">
        <v>40</v>
      </c>
      <c r="J1082" s="1">
        <v>10</v>
      </c>
      <c r="K1082" s="1">
        <v>6</v>
      </c>
      <c r="L1082" s="1">
        <v>3</v>
      </c>
      <c r="M1082" s="8">
        <v>0</v>
      </c>
    </row>
    <row r="1083" spans="1:13" hidden="1" x14ac:dyDescent="0.25">
      <c r="A1083" s="7">
        <v>17</v>
      </c>
      <c r="B1083" s="1" t="s">
        <v>37</v>
      </c>
      <c r="C1083" s="1">
        <v>7.8</v>
      </c>
      <c r="D1083" s="1" t="s">
        <v>38</v>
      </c>
      <c r="E1083" s="1">
        <v>5.7</v>
      </c>
      <c r="F1083" s="1">
        <v>1.2</v>
      </c>
      <c r="G1083" s="1">
        <v>3.72</v>
      </c>
      <c r="H1083" s="1">
        <v>1.2</v>
      </c>
      <c r="I1083" s="1" t="s">
        <v>39</v>
      </c>
      <c r="J1083" s="1">
        <v>10</v>
      </c>
      <c r="K1083" s="1">
        <v>2</v>
      </c>
      <c r="L1083" s="1">
        <v>6</v>
      </c>
      <c r="M1083" s="8">
        <v>0</v>
      </c>
    </row>
    <row r="1084" spans="1:13" x14ac:dyDescent="0.25">
      <c r="A1084" s="7">
        <v>14</v>
      </c>
      <c r="B1084" s="1" t="s">
        <v>37</v>
      </c>
      <c r="C1084" s="1">
        <v>5</v>
      </c>
      <c r="D1084" s="1" t="s">
        <v>35</v>
      </c>
      <c r="E1084" s="1">
        <v>6.2</v>
      </c>
      <c r="F1084" s="1">
        <v>1</v>
      </c>
      <c r="G1084" s="1">
        <v>2</v>
      </c>
      <c r="H1084" s="1">
        <v>1.5</v>
      </c>
      <c r="I1084" s="1" t="s">
        <v>36</v>
      </c>
      <c r="J1084" s="1">
        <v>5</v>
      </c>
      <c r="K1084" s="1">
        <v>6</v>
      </c>
      <c r="L1084" s="1">
        <v>1</v>
      </c>
      <c r="M1084" s="8">
        <v>0</v>
      </c>
    </row>
    <row r="1085" spans="1:13" hidden="1" x14ac:dyDescent="0.25">
      <c r="A1085" s="7">
        <v>17</v>
      </c>
      <c r="B1085" s="1" t="s">
        <v>34</v>
      </c>
      <c r="C1085" s="1">
        <v>6.6</v>
      </c>
      <c r="D1085" s="1" t="s">
        <v>38</v>
      </c>
      <c r="E1085" s="1">
        <v>5.3</v>
      </c>
      <c r="F1085" s="1">
        <v>1.1000000000000001</v>
      </c>
      <c r="G1085" s="1">
        <v>3.5</v>
      </c>
      <c r="H1085" s="1">
        <v>1.7</v>
      </c>
      <c r="I1085" s="1" t="s">
        <v>40</v>
      </c>
      <c r="J1085" s="1">
        <v>1</v>
      </c>
      <c r="K1085" s="1">
        <v>10</v>
      </c>
      <c r="L1085" s="1">
        <v>7</v>
      </c>
      <c r="M1085" s="8">
        <v>0</v>
      </c>
    </row>
    <row r="1086" spans="1:13" hidden="1" x14ac:dyDescent="0.25">
      <c r="A1086" s="7">
        <v>18</v>
      </c>
      <c r="B1086" s="1" t="s">
        <v>34</v>
      </c>
      <c r="C1086" s="1">
        <v>2.6</v>
      </c>
      <c r="D1086" s="1" t="s">
        <v>41</v>
      </c>
      <c r="E1086" s="1">
        <v>8.6</v>
      </c>
      <c r="F1086" s="1">
        <v>2.7</v>
      </c>
      <c r="G1086" s="1">
        <v>3.28</v>
      </c>
      <c r="H1086" s="1">
        <v>0.8</v>
      </c>
      <c r="I1086" s="1" t="s">
        <v>39</v>
      </c>
      <c r="J1086" s="1">
        <v>5</v>
      </c>
      <c r="K1086" s="1">
        <v>4</v>
      </c>
      <c r="L1086" s="1">
        <v>6</v>
      </c>
      <c r="M1086" s="8">
        <v>0</v>
      </c>
    </row>
    <row r="1087" spans="1:13" x14ac:dyDescent="0.25">
      <c r="A1087" s="7">
        <v>13</v>
      </c>
      <c r="B1087" s="1" t="s">
        <v>37</v>
      </c>
      <c r="C1087" s="1">
        <v>5.8</v>
      </c>
      <c r="D1087" s="1" t="s">
        <v>35</v>
      </c>
      <c r="E1087" s="1">
        <v>4.4000000000000004</v>
      </c>
      <c r="F1087" s="1">
        <v>1.8</v>
      </c>
      <c r="G1087" s="1">
        <v>3.8</v>
      </c>
      <c r="H1087" s="1">
        <v>1</v>
      </c>
      <c r="I1087" s="1" t="s">
        <v>39</v>
      </c>
      <c r="J1087" s="1">
        <v>2</v>
      </c>
      <c r="K1087" s="1">
        <v>2</v>
      </c>
      <c r="L1087" s="1">
        <v>1</v>
      </c>
      <c r="M1087" s="8">
        <v>0</v>
      </c>
    </row>
    <row r="1088" spans="1:13" hidden="1" x14ac:dyDescent="0.25">
      <c r="A1088" s="7">
        <v>14</v>
      </c>
      <c r="B1088" s="1" t="s">
        <v>37</v>
      </c>
      <c r="C1088" s="1">
        <v>5.6</v>
      </c>
      <c r="D1088" s="1" t="s">
        <v>38</v>
      </c>
      <c r="E1088" s="1">
        <v>6.8</v>
      </c>
      <c r="F1088" s="1">
        <v>2.2999999999999998</v>
      </c>
      <c r="G1088" s="1">
        <v>2.66</v>
      </c>
      <c r="H1088" s="1">
        <v>1.1000000000000001</v>
      </c>
      <c r="I1088" s="1" t="s">
        <v>39</v>
      </c>
      <c r="J1088" s="1">
        <v>7</v>
      </c>
      <c r="K1088" s="1">
        <v>6</v>
      </c>
      <c r="L1088" s="1">
        <v>2</v>
      </c>
      <c r="M1088" s="8">
        <v>0</v>
      </c>
    </row>
    <row r="1089" spans="1:13" hidden="1" x14ac:dyDescent="0.25">
      <c r="A1089" s="7">
        <v>18</v>
      </c>
      <c r="B1089" s="1" t="s">
        <v>34</v>
      </c>
      <c r="C1089" s="1">
        <v>4.5999999999999996</v>
      </c>
      <c r="D1089" s="1" t="s">
        <v>41</v>
      </c>
      <c r="E1089" s="1">
        <v>4.3</v>
      </c>
      <c r="F1089" s="1">
        <v>2.9</v>
      </c>
      <c r="G1089" s="1">
        <v>2.95</v>
      </c>
      <c r="H1089" s="1">
        <v>0.6</v>
      </c>
      <c r="I1089" s="1" t="s">
        <v>40</v>
      </c>
      <c r="J1089" s="1">
        <v>7</v>
      </c>
      <c r="K1089" s="1">
        <v>9</v>
      </c>
      <c r="L1089" s="1">
        <v>8</v>
      </c>
      <c r="M1089" s="8">
        <v>0</v>
      </c>
    </row>
    <row r="1090" spans="1:13" hidden="1" x14ac:dyDescent="0.25">
      <c r="A1090" s="7">
        <v>19</v>
      </c>
      <c r="B1090" s="1" t="s">
        <v>34</v>
      </c>
      <c r="C1090" s="1">
        <v>1.4</v>
      </c>
      <c r="D1090" s="1" t="s">
        <v>41</v>
      </c>
      <c r="E1090" s="1">
        <v>4.7</v>
      </c>
      <c r="F1090" s="1">
        <v>0.5</v>
      </c>
      <c r="G1090" s="1">
        <v>3.57</v>
      </c>
      <c r="H1090" s="1">
        <v>1.7</v>
      </c>
      <c r="I1090" s="1" t="s">
        <v>39</v>
      </c>
      <c r="J1090" s="1">
        <v>1</v>
      </c>
      <c r="K1090" s="1">
        <v>5</v>
      </c>
      <c r="L1090" s="1">
        <v>6</v>
      </c>
      <c r="M1090" s="8">
        <v>0</v>
      </c>
    </row>
    <row r="1091" spans="1:13" hidden="1" x14ac:dyDescent="0.25">
      <c r="A1091" s="7">
        <v>13</v>
      </c>
      <c r="B1091" s="1" t="s">
        <v>37</v>
      </c>
      <c r="C1091" s="1">
        <v>2.9</v>
      </c>
      <c r="D1091" s="1" t="s">
        <v>41</v>
      </c>
      <c r="E1091" s="1">
        <v>8.1999999999999993</v>
      </c>
      <c r="F1091" s="1">
        <v>2.2999999999999998</v>
      </c>
      <c r="G1091" s="1">
        <v>2.48</v>
      </c>
      <c r="H1091" s="1">
        <v>0.9</v>
      </c>
      <c r="I1091" s="1" t="s">
        <v>36</v>
      </c>
      <c r="J1091" s="1">
        <v>5</v>
      </c>
      <c r="K1091" s="1">
        <v>8</v>
      </c>
      <c r="L1091" s="1">
        <v>9</v>
      </c>
      <c r="M1091" s="8">
        <v>0</v>
      </c>
    </row>
    <row r="1092" spans="1:13" x14ac:dyDescent="0.25">
      <c r="A1092" s="7">
        <v>16</v>
      </c>
      <c r="B1092" s="1" t="s">
        <v>37</v>
      </c>
      <c r="C1092" s="1">
        <v>7.9</v>
      </c>
      <c r="D1092" s="1" t="s">
        <v>35</v>
      </c>
      <c r="E1092" s="1">
        <v>6.3</v>
      </c>
      <c r="F1092" s="1">
        <v>2.7</v>
      </c>
      <c r="G1092" s="1">
        <v>2.88</v>
      </c>
      <c r="H1092" s="1">
        <v>0.2</v>
      </c>
      <c r="I1092" s="1" t="s">
        <v>39</v>
      </c>
      <c r="J1092" s="1">
        <v>2</v>
      </c>
      <c r="K1092" s="1">
        <v>7</v>
      </c>
      <c r="L1092" s="1">
        <v>5</v>
      </c>
      <c r="M1092" s="8">
        <v>0</v>
      </c>
    </row>
    <row r="1093" spans="1:13" hidden="1" x14ac:dyDescent="0.25">
      <c r="A1093" s="7">
        <v>13</v>
      </c>
      <c r="B1093" s="1" t="s">
        <v>34</v>
      </c>
      <c r="C1093" s="1">
        <v>3.5</v>
      </c>
      <c r="D1093" s="1" t="s">
        <v>41</v>
      </c>
      <c r="E1093" s="1">
        <v>6.8</v>
      </c>
      <c r="F1093" s="1">
        <v>2.2999999999999998</v>
      </c>
      <c r="G1093" s="1">
        <v>2.2799999999999998</v>
      </c>
      <c r="H1093" s="1">
        <v>1</v>
      </c>
      <c r="I1093" s="1" t="s">
        <v>36</v>
      </c>
      <c r="J1093" s="1">
        <v>7</v>
      </c>
      <c r="K1093" s="1">
        <v>2</v>
      </c>
      <c r="L1093" s="1">
        <v>6</v>
      </c>
      <c r="M1093" s="8">
        <v>0</v>
      </c>
    </row>
    <row r="1094" spans="1:13" x14ac:dyDescent="0.25">
      <c r="A1094" s="7">
        <v>14</v>
      </c>
      <c r="B1094" s="1" t="s">
        <v>37</v>
      </c>
      <c r="C1094" s="1">
        <v>3.8</v>
      </c>
      <c r="D1094" s="1" t="s">
        <v>35</v>
      </c>
      <c r="E1094" s="1">
        <v>7.9</v>
      </c>
      <c r="F1094" s="1">
        <v>1.2</v>
      </c>
      <c r="G1094" s="1">
        <v>3.24</v>
      </c>
      <c r="H1094" s="1">
        <v>1.6</v>
      </c>
      <c r="I1094" s="1" t="s">
        <v>39</v>
      </c>
      <c r="J1094" s="1">
        <v>6</v>
      </c>
      <c r="K1094" s="1">
        <v>10</v>
      </c>
      <c r="L1094" s="1">
        <v>5</v>
      </c>
      <c r="M1094" s="8">
        <v>0</v>
      </c>
    </row>
    <row r="1095" spans="1:13" hidden="1" x14ac:dyDescent="0.25">
      <c r="A1095" s="7">
        <v>19</v>
      </c>
      <c r="B1095" s="1" t="s">
        <v>34</v>
      </c>
      <c r="C1095" s="1">
        <v>2.9</v>
      </c>
      <c r="D1095" s="1" t="s">
        <v>35</v>
      </c>
      <c r="E1095" s="1">
        <v>8.6999999999999993</v>
      </c>
      <c r="F1095" s="1">
        <v>0.9</v>
      </c>
      <c r="G1095" s="1">
        <v>2.99</v>
      </c>
      <c r="H1095" s="1">
        <v>0.8</v>
      </c>
      <c r="I1095" s="1" t="s">
        <v>40</v>
      </c>
      <c r="J1095" s="1">
        <v>7</v>
      </c>
      <c r="K1095" s="1">
        <v>8</v>
      </c>
      <c r="L1095" s="1">
        <v>2</v>
      </c>
      <c r="M1095" s="8">
        <v>0</v>
      </c>
    </row>
    <row r="1096" spans="1:13" hidden="1" x14ac:dyDescent="0.25">
      <c r="A1096" s="7">
        <v>17</v>
      </c>
      <c r="B1096" s="1" t="s">
        <v>34</v>
      </c>
      <c r="C1096" s="1">
        <v>3.5</v>
      </c>
      <c r="D1096" s="1" t="s">
        <v>41</v>
      </c>
      <c r="E1096" s="1">
        <v>4.5999999999999996</v>
      </c>
      <c r="F1096" s="1">
        <v>0.7</v>
      </c>
      <c r="G1096" s="1">
        <v>3.9</v>
      </c>
      <c r="H1096" s="1">
        <v>0.6</v>
      </c>
      <c r="I1096" s="1" t="s">
        <v>39</v>
      </c>
      <c r="J1096" s="1">
        <v>7</v>
      </c>
      <c r="K1096" s="1">
        <v>3</v>
      </c>
      <c r="L1096" s="1">
        <v>1</v>
      </c>
      <c r="M1096" s="8">
        <v>0</v>
      </c>
    </row>
    <row r="1097" spans="1:13" hidden="1" x14ac:dyDescent="0.25">
      <c r="A1097" s="7">
        <v>16</v>
      </c>
      <c r="B1097" s="1" t="s">
        <v>34</v>
      </c>
      <c r="C1097" s="1">
        <v>4.8</v>
      </c>
      <c r="D1097" s="1" t="s">
        <v>35</v>
      </c>
      <c r="E1097" s="1">
        <v>8.6</v>
      </c>
      <c r="F1097" s="1">
        <v>1.8</v>
      </c>
      <c r="G1097" s="1">
        <v>2.44</v>
      </c>
      <c r="H1097" s="1">
        <v>1.7</v>
      </c>
      <c r="I1097" s="1" t="s">
        <v>39</v>
      </c>
      <c r="J1097" s="1">
        <v>8</v>
      </c>
      <c r="K1097" s="1">
        <v>7</v>
      </c>
      <c r="L1097" s="1">
        <v>3</v>
      </c>
      <c r="M1097" s="8">
        <v>0</v>
      </c>
    </row>
    <row r="1098" spans="1:13" hidden="1" x14ac:dyDescent="0.25">
      <c r="A1098" s="7">
        <v>13</v>
      </c>
      <c r="B1098" s="1" t="s">
        <v>34</v>
      </c>
      <c r="C1098" s="1">
        <v>5.8</v>
      </c>
      <c r="D1098" s="1" t="s">
        <v>38</v>
      </c>
      <c r="E1098" s="1">
        <v>7.2</v>
      </c>
      <c r="F1098" s="1">
        <v>1.1000000000000001</v>
      </c>
      <c r="G1098" s="1">
        <v>2.69</v>
      </c>
      <c r="H1098" s="1">
        <v>0.4</v>
      </c>
      <c r="I1098" s="1" t="s">
        <v>36</v>
      </c>
      <c r="J1098" s="1">
        <v>7</v>
      </c>
      <c r="K1098" s="1">
        <v>3</v>
      </c>
      <c r="L1098" s="1">
        <v>7</v>
      </c>
      <c r="M1098" s="8">
        <v>0</v>
      </c>
    </row>
    <row r="1099" spans="1:13" hidden="1" x14ac:dyDescent="0.25">
      <c r="A1099" s="7">
        <v>16</v>
      </c>
      <c r="B1099" s="1" t="s">
        <v>37</v>
      </c>
      <c r="C1099" s="1">
        <v>6.1</v>
      </c>
      <c r="D1099" s="1" t="s">
        <v>41</v>
      </c>
      <c r="E1099" s="1">
        <v>7.5</v>
      </c>
      <c r="F1099" s="1">
        <v>2.5</v>
      </c>
      <c r="G1099" s="1">
        <v>3.14</v>
      </c>
      <c r="H1099" s="1">
        <v>0.5</v>
      </c>
      <c r="I1099" s="1" t="s">
        <v>36</v>
      </c>
      <c r="J1099" s="1">
        <v>9</v>
      </c>
      <c r="K1099" s="1">
        <v>6</v>
      </c>
      <c r="L1099" s="1">
        <v>10</v>
      </c>
      <c r="M1099" s="8">
        <v>0</v>
      </c>
    </row>
    <row r="1100" spans="1:13" hidden="1" x14ac:dyDescent="0.25">
      <c r="A1100" s="7">
        <v>14</v>
      </c>
      <c r="B1100" s="1" t="s">
        <v>37</v>
      </c>
      <c r="C1100" s="1">
        <v>4.3</v>
      </c>
      <c r="D1100" s="1" t="s">
        <v>41</v>
      </c>
      <c r="E1100" s="1">
        <v>7.8</v>
      </c>
      <c r="F1100" s="1">
        <v>0.5</v>
      </c>
      <c r="G1100" s="1">
        <v>3.92</v>
      </c>
      <c r="H1100" s="1">
        <v>0.7</v>
      </c>
      <c r="I1100" s="1" t="s">
        <v>39</v>
      </c>
      <c r="J1100" s="1">
        <v>3</v>
      </c>
      <c r="K1100" s="1">
        <v>4</v>
      </c>
      <c r="L1100" s="1">
        <v>8</v>
      </c>
      <c r="M1100" s="8">
        <v>0</v>
      </c>
    </row>
    <row r="1101" spans="1:13" x14ac:dyDescent="0.25">
      <c r="A1101" s="7">
        <v>15</v>
      </c>
      <c r="B1101" s="1" t="s">
        <v>37</v>
      </c>
      <c r="C1101" s="1">
        <v>7.8</v>
      </c>
      <c r="D1101" s="1" t="s">
        <v>35</v>
      </c>
      <c r="E1101" s="1">
        <v>4.5999999999999996</v>
      </c>
      <c r="F1101" s="1">
        <v>3</v>
      </c>
      <c r="G1101" s="1">
        <v>2.44</v>
      </c>
      <c r="H1101" s="1">
        <v>1.4</v>
      </c>
      <c r="I1101" s="1" t="s">
        <v>40</v>
      </c>
      <c r="J1101" s="1">
        <v>8</v>
      </c>
      <c r="K1101" s="1">
        <v>10</v>
      </c>
      <c r="L1101" s="1">
        <v>6</v>
      </c>
      <c r="M1101" s="8">
        <v>1</v>
      </c>
    </row>
    <row r="1102" spans="1:13" hidden="1" x14ac:dyDescent="0.25">
      <c r="A1102" s="7">
        <v>15</v>
      </c>
      <c r="B1102" s="1" t="s">
        <v>37</v>
      </c>
      <c r="C1102" s="1">
        <v>5.2</v>
      </c>
      <c r="D1102" s="1" t="s">
        <v>38</v>
      </c>
      <c r="E1102" s="1">
        <v>7.5</v>
      </c>
      <c r="F1102" s="1">
        <v>1.1000000000000001</v>
      </c>
      <c r="G1102" s="1">
        <v>3.61</v>
      </c>
      <c r="H1102" s="1">
        <v>0.1</v>
      </c>
      <c r="I1102" s="1" t="s">
        <v>36</v>
      </c>
      <c r="J1102" s="1">
        <v>4</v>
      </c>
      <c r="K1102" s="1">
        <v>6</v>
      </c>
      <c r="L1102" s="1">
        <v>7</v>
      </c>
      <c r="M1102" s="8">
        <v>0</v>
      </c>
    </row>
    <row r="1103" spans="1:13" hidden="1" x14ac:dyDescent="0.25">
      <c r="A1103" s="7">
        <v>17</v>
      </c>
      <c r="B1103" s="1" t="s">
        <v>34</v>
      </c>
      <c r="C1103" s="1">
        <v>3.5</v>
      </c>
      <c r="D1103" s="1" t="s">
        <v>35</v>
      </c>
      <c r="E1103" s="1">
        <v>4.3</v>
      </c>
      <c r="F1103" s="1">
        <v>2.2000000000000002</v>
      </c>
      <c r="G1103" s="1">
        <v>3.19</v>
      </c>
      <c r="H1103" s="1">
        <v>1</v>
      </c>
      <c r="I1103" s="1" t="s">
        <v>39</v>
      </c>
      <c r="J1103" s="1">
        <v>4</v>
      </c>
      <c r="K1103" s="1">
        <v>5</v>
      </c>
      <c r="L1103" s="1">
        <v>9</v>
      </c>
      <c r="M1103" s="8">
        <v>0</v>
      </c>
    </row>
    <row r="1104" spans="1:13" hidden="1" x14ac:dyDescent="0.25">
      <c r="A1104" s="7">
        <v>16</v>
      </c>
      <c r="B1104" s="1" t="s">
        <v>37</v>
      </c>
      <c r="C1104" s="1">
        <v>6.5</v>
      </c>
      <c r="D1104" s="1" t="s">
        <v>38</v>
      </c>
      <c r="E1104" s="1">
        <v>4.5999999999999996</v>
      </c>
      <c r="F1104" s="1">
        <v>1.8</v>
      </c>
      <c r="G1104" s="1">
        <v>2.2000000000000002</v>
      </c>
      <c r="H1104" s="1">
        <v>1.2</v>
      </c>
      <c r="I1104" s="1" t="s">
        <v>36</v>
      </c>
      <c r="J1104" s="1">
        <v>7</v>
      </c>
      <c r="K1104" s="1">
        <v>4</v>
      </c>
      <c r="L1104" s="1">
        <v>4</v>
      </c>
      <c r="M1104" s="8">
        <v>0</v>
      </c>
    </row>
    <row r="1105" spans="1:13" hidden="1" x14ac:dyDescent="0.25">
      <c r="A1105" s="7">
        <v>17</v>
      </c>
      <c r="B1105" s="1" t="s">
        <v>34</v>
      </c>
      <c r="C1105" s="1">
        <v>4.7</v>
      </c>
      <c r="D1105" s="1" t="s">
        <v>38</v>
      </c>
      <c r="E1105" s="1">
        <v>7.2</v>
      </c>
      <c r="F1105" s="1">
        <v>2.7</v>
      </c>
      <c r="G1105" s="1">
        <v>2.06</v>
      </c>
      <c r="H1105" s="1">
        <v>1.4</v>
      </c>
      <c r="I1105" s="1" t="s">
        <v>36</v>
      </c>
      <c r="J1105" s="1">
        <v>3</v>
      </c>
      <c r="K1105" s="1">
        <v>1</v>
      </c>
      <c r="L1105" s="1">
        <v>4</v>
      </c>
      <c r="M1105" s="8">
        <v>0</v>
      </c>
    </row>
    <row r="1106" spans="1:13" hidden="1" x14ac:dyDescent="0.25">
      <c r="A1106" s="7">
        <v>13</v>
      </c>
      <c r="B1106" s="1" t="s">
        <v>34</v>
      </c>
      <c r="C1106" s="1">
        <v>2.5</v>
      </c>
      <c r="D1106" s="1" t="s">
        <v>35</v>
      </c>
      <c r="E1106" s="1">
        <v>6.3</v>
      </c>
      <c r="F1106" s="1">
        <v>1.8</v>
      </c>
      <c r="G1106" s="1">
        <v>2.2000000000000002</v>
      </c>
      <c r="H1106" s="1">
        <v>0.1</v>
      </c>
      <c r="I1106" s="1" t="s">
        <v>39</v>
      </c>
      <c r="J1106" s="1">
        <v>9</v>
      </c>
      <c r="K1106" s="1">
        <v>3</v>
      </c>
      <c r="L1106" s="1">
        <v>9</v>
      </c>
      <c r="M1106" s="8">
        <v>0</v>
      </c>
    </row>
    <row r="1107" spans="1:13" hidden="1" x14ac:dyDescent="0.25">
      <c r="A1107" s="7">
        <v>19</v>
      </c>
      <c r="B1107" s="1" t="s">
        <v>37</v>
      </c>
      <c r="C1107" s="1">
        <v>5.5</v>
      </c>
      <c r="D1107" s="1" t="s">
        <v>38</v>
      </c>
      <c r="E1107" s="1">
        <v>7.4</v>
      </c>
      <c r="F1107" s="1">
        <v>2</v>
      </c>
      <c r="G1107" s="1">
        <v>2.8</v>
      </c>
      <c r="H1107" s="1">
        <v>1.8</v>
      </c>
      <c r="I1107" s="1" t="s">
        <v>39</v>
      </c>
      <c r="J1107" s="1">
        <v>9</v>
      </c>
      <c r="K1107" s="1">
        <v>8</v>
      </c>
      <c r="L1107" s="1">
        <v>10</v>
      </c>
      <c r="M1107" s="8">
        <v>0</v>
      </c>
    </row>
    <row r="1108" spans="1:13" x14ac:dyDescent="0.25">
      <c r="A1108" s="7">
        <v>15</v>
      </c>
      <c r="B1108" s="1" t="s">
        <v>37</v>
      </c>
      <c r="C1108" s="1">
        <v>3.5</v>
      </c>
      <c r="D1108" s="1" t="s">
        <v>35</v>
      </c>
      <c r="E1108" s="1">
        <v>8</v>
      </c>
      <c r="F1108" s="1">
        <v>1.9</v>
      </c>
      <c r="G1108" s="1">
        <v>3.45</v>
      </c>
      <c r="H1108" s="1">
        <v>1.5</v>
      </c>
      <c r="I1108" s="1" t="s">
        <v>39</v>
      </c>
      <c r="J1108" s="1">
        <v>10</v>
      </c>
      <c r="K1108" s="1">
        <v>4</v>
      </c>
      <c r="L1108" s="1">
        <v>1</v>
      </c>
      <c r="M1108" s="8">
        <v>0</v>
      </c>
    </row>
    <row r="1109" spans="1:13" hidden="1" x14ac:dyDescent="0.25">
      <c r="A1109" s="7">
        <v>14</v>
      </c>
      <c r="B1109" s="1" t="s">
        <v>37</v>
      </c>
      <c r="C1109" s="1">
        <v>4.5999999999999996</v>
      </c>
      <c r="D1109" s="1" t="s">
        <v>38</v>
      </c>
      <c r="E1109" s="1">
        <v>7</v>
      </c>
      <c r="F1109" s="1">
        <v>1.6</v>
      </c>
      <c r="G1109" s="1">
        <v>2.74</v>
      </c>
      <c r="H1109" s="1">
        <v>0.9</v>
      </c>
      <c r="I1109" s="1" t="s">
        <v>36</v>
      </c>
      <c r="J1109" s="1">
        <v>3</v>
      </c>
      <c r="K1109" s="1">
        <v>2</v>
      </c>
      <c r="L1109" s="1">
        <v>9</v>
      </c>
      <c r="M1109" s="8">
        <v>0</v>
      </c>
    </row>
    <row r="1110" spans="1:13" x14ac:dyDescent="0.25">
      <c r="A1110" s="7">
        <v>13</v>
      </c>
      <c r="B1110" s="1" t="s">
        <v>37</v>
      </c>
      <c r="C1110" s="1">
        <v>3.5</v>
      </c>
      <c r="D1110" s="1" t="s">
        <v>35</v>
      </c>
      <c r="E1110" s="1">
        <v>6.9</v>
      </c>
      <c r="F1110" s="1">
        <v>1.6</v>
      </c>
      <c r="G1110" s="1">
        <v>2.08</v>
      </c>
      <c r="H1110" s="1">
        <v>0.7</v>
      </c>
      <c r="I1110" s="1" t="s">
        <v>36</v>
      </c>
      <c r="J1110" s="1">
        <v>9</v>
      </c>
      <c r="K1110" s="1">
        <v>9</v>
      </c>
      <c r="L1110" s="1">
        <v>9</v>
      </c>
      <c r="M1110" s="8">
        <v>0</v>
      </c>
    </row>
    <row r="1111" spans="1:13" hidden="1" x14ac:dyDescent="0.25">
      <c r="A1111" s="7">
        <v>19</v>
      </c>
      <c r="B1111" s="1" t="s">
        <v>34</v>
      </c>
      <c r="C1111" s="1">
        <v>1.6</v>
      </c>
      <c r="D1111" s="1" t="s">
        <v>38</v>
      </c>
      <c r="E1111" s="1">
        <v>8.6</v>
      </c>
      <c r="F1111" s="1">
        <v>1.4</v>
      </c>
      <c r="G1111" s="1">
        <v>2.69</v>
      </c>
      <c r="H1111" s="1">
        <v>1.6</v>
      </c>
      <c r="I1111" s="1" t="s">
        <v>40</v>
      </c>
      <c r="J1111" s="1">
        <v>4</v>
      </c>
      <c r="K1111" s="1">
        <v>3</v>
      </c>
      <c r="L1111" s="1">
        <v>4</v>
      </c>
      <c r="M1111" s="8">
        <v>0</v>
      </c>
    </row>
    <row r="1112" spans="1:13" hidden="1" x14ac:dyDescent="0.25">
      <c r="A1112" s="7">
        <v>13</v>
      </c>
      <c r="B1112" s="1" t="s">
        <v>37</v>
      </c>
      <c r="C1112" s="1">
        <v>3.2</v>
      </c>
      <c r="D1112" s="1" t="s">
        <v>41</v>
      </c>
      <c r="E1112" s="1">
        <v>5.9</v>
      </c>
      <c r="F1112" s="1">
        <v>0.7</v>
      </c>
      <c r="G1112" s="1">
        <v>3.98</v>
      </c>
      <c r="H1112" s="1">
        <v>0.8</v>
      </c>
      <c r="I1112" s="1" t="s">
        <v>36</v>
      </c>
      <c r="J1112" s="1">
        <v>6</v>
      </c>
      <c r="K1112" s="1">
        <v>8</v>
      </c>
      <c r="L1112" s="1">
        <v>1</v>
      </c>
      <c r="M1112" s="8">
        <v>0</v>
      </c>
    </row>
    <row r="1113" spans="1:13" hidden="1" x14ac:dyDescent="0.25">
      <c r="A1113" s="7">
        <v>19</v>
      </c>
      <c r="B1113" s="1" t="s">
        <v>37</v>
      </c>
      <c r="C1113" s="1">
        <v>1.7</v>
      </c>
      <c r="D1113" s="1" t="s">
        <v>41</v>
      </c>
      <c r="E1113" s="1">
        <v>7</v>
      </c>
      <c r="F1113" s="1">
        <v>2.7</v>
      </c>
      <c r="G1113" s="1">
        <v>2.0699999999999998</v>
      </c>
      <c r="H1113" s="1">
        <v>0.5</v>
      </c>
      <c r="I1113" s="1" t="s">
        <v>39</v>
      </c>
      <c r="J1113" s="1">
        <v>6</v>
      </c>
      <c r="K1113" s="1">
        <v>4</v>
      </c>
      <c r="L1113" s="1">
        <v>10</v>
      </c>
      <c r="M1113" s="8">
        <v>0</v>
      </c>
    </row>
    <row r="1114" spans="1:13" hidden="1" x14ac:dyDescent="0.25">
      <c r="A1114" s="7">
        <v>14</v>
      </c>
      <c r="B1114" s="1" t="s">
        <v>34</v>
      </c>
      <c r="C1114" s="1">
        <v>6.4</v>
      </c>
      <c r="D1114" s="1" t="s">
        <v>35</v>
      </c>
      <c r="E1114" s="1">
        <v>4.3</v>
      </c>
      <c r="F1114" s="1">
        <v>2.2999999999999998</v>
      </c>
      <c r="G1114" s="1">
        <v>3.99</v>
      </c>
      <c r="H1114" s="1">
        <v>1.1000000000000001</v>
      </c>
      <c r="I1114" s="1" t="s">
        <v>36</v>
      </c>
      <c r="J1114" s="1">
        <v>7</v>
      </c>
      <c r="K1114" s="1">
        <v>4</v>
      </c>
      <c r="L1114" s="1">
        <v>3</v>
      </c>
      <c r="M1114" s="8">
        <v>0</v>
      </c>
    </row>
    <row r="1115" spans="1:13" hidden="1" x14ac:dyDescent="0.25">
      <c r="A1115" s="7">
        <v>13</v>
      </c>
      <c r="B1115" s="1" t="s">
        <v>37</v>
      </c>
      <c r="C1115" s="1">
        <v>3.3</v>
      </c>
      <c r="D1115" s="1" t="s">
        <v>38</v>
      </c>
      <c r="E1115" s="1">
        <v>6.4</v>
      </c>
      <c r="F1115" s="1">
        <v>1</v>
      </c>
      <c r="G1115" s="1">
        <v>2.4900000000000002</v>
      </c>
      <c r="H1115" s="1">
        <v>1</v>
      </c>
      <c r="I1115" s="1" t="s">
        <v>36</v>
      </c>
      <c r="J1115" s="1">
        <v>9</v>
      </c>
      <c r="K1115" s="1">
        <v>2</v>
      </c>
      <c r="L1115" s="1">
        <v>4</v>
      </c>
      <c r="M1115" s="8">
        <v>0</v>
      </c>
    </row>
    <row r="1116" spans="1:13" hidden="1" x14ac:dyDescent="0.25">
      <c r="A1116" s="7">
        <v>18</v>
      </c>
      <c r="B1116" s="1" t="s">
        <v>34</v>
      </c>
      <c r="C1116" s="1">
        <v>1.2</v>
      </c>
      <c r="D1116" s="1" t="s">
        <v>41</v>
      </c>
      <c r="E1116" s="1">
        <v>6.8</v>
      </c>
      <c r="F1116" s="1">
        <v>2.6</v>
      </c>
      <c r="G1116" s="1">
        <v>2.85</v>
      </c>
      <c r="H1116" s="1">
        <v>1.8</v>
      </c>
      <c r="I1116" s="1" t="s">
        <v>40</v>
      </c>
      <c r="J1116" s="1">
        <v>4</v>
      </c>
      <c r="K1116" s="1">
        <v>3</v>
      </c>
      <c r="L1116" s="1">
        <v>9</v>
      </c>
      <c r="M1116" s="8">
        <v>0</v>
      </c>
    </row>
    <row r="1117" spans="1:13" hidden="1" x14ac:dyDescent="0.25">
      <c r="A1117" s="7">
        <v>13</v>
      </c>
      <c r="B1117" s="1" t="s">
        <v>37</v>
      </c>
      <c r="C1117" s="1">
        <v>2.5</v>
      </c>
      <c r="D1117" s="1" t="s">
        <v>41</v>
      </c>
      <c r="E1117" s="1">
        <v>7.8</v>
      </c>
      <c r="F1117" s="1">
        <v>1.4</v>
      </c>
      <c r="G1117" s="1">
        <v>3.43</v>
      </c>
      <c r="H1117" s="1">
        <v>0.9</v>
      </c>
      <c r="I1117" s="1" t="s">
        <v>40</v>
      </c>
      <c r="J1117" s="1">
        <v>1</v>
      </c>
      <c r="K1117" s="1">
        <v>4</v>
      </c>
      <c r="L1117" s="1">
        <v>6</v>
      </c>
      <c r="M1117" s="8">
        <v>0</v>
      </c>
    </row>
    <row r="1118" spans="1:13" hidden="1" x14ac:dyDescent="0.25">
      <c r="A1118" s="7">
        <v>16</v>
      </c>
      <c r="B1118" s="1" t="s">
        <v>34</v>
      </c>
      <c r="C1118" s="1">
        <v>2.2000000000000002</v>
      </c>
      <c r="D1118" s="1" t="s">
        <v>38</v>
      </c>
      <c r="E1118" s="1">
        <v>5.0999999999999996</v>
      </c>
      <c r="F1118" s="1">
        <v>2.2999999999999998</v>
      </c>
      <c r="G1118" s="1">
        <v>3.6</v>
      </c>
      <c r="H1118" s="1">
        <v>1</v>
      </c>
      <c r="I1118" s="1" t="s">
        <v>39</v>
      </c>
      <c r="J1118" s="1">
        <v>4</v>
      </c>
      <c r="K1118" s="1">
        <v>7</v>
      </c>
      <c r="L1118" s="1">
        <v>6</v>
      </c>
      <c r="M1118" s="8">
        <v>0</v>
      </c>
    </row>
    <row r="1119" spans="1:13" hidden="1" x14ac:dyDescent="0.25">
      <c r="A1119" s="7">
        <v>18</v>
      </c>
      <c r="B1119" s="1" t="s">
        <v>37</v>
      </c>
      <c r="C1119" s="1">
        <v>5.2</v>
      </c>
      <c r="D1119" s="1" t="s">
        <v>41</v>
      </c>
      <c r="E1119" s="1">
        <v>7.1</v>
      </c>
      <c r="F1119" s="1">
        <v>1.9</v>
      </c>
      <c r="G1119" s="1">
        <v>2.87</v>
      </c>
      <c r="H1119" s="1">
        <v>1.7</v>
      </c>
      <c r="I1119" s="1" t="s">
        <v>40</v>
      </c>
      <c r="J1119" s="1">
        <v>5</v>
      </c>
      <c r="K1119" s="1">
        <v>8</v>
      </c>
      <c r="L1119" s="1">
        <v>6</v>
      </c>
      <c r="M1119" s="8">
        <v>0</v>
      </c>
    </row>
    <row r="1120" spans="1:13" hidden="1" x14ac:dyDescent="0.25">
      <c r="A1120" s="7">
        <v>16</v>
      </c>
      <c r="B1120" s="1" t="s">
        <v>34</v>
      </c>
      <c r="C1120" s="1">
        <v>7.9</v>
      </c>
      <c r="D1120" s="1" t="s">
        <v>35</v>
      </c>
      <c r="E1120" s="1">
        <v>8.6999999999999993</v>
      </c>
      <c r="F1120" s="1">
        <v>2.5</v>
      </c>
      <c r="G1120" s="1">
        <v>2.29</v>
      </c>
      <c r="H1120" s="1">
        <v>0.7</v>
      </c>
      <c r="I1120" s="1" t="s">
        <v>39</v>
      </c>
      <c r="J1120" s="1">
        <v>7</v>
      </c>
      <c r="K1120" s="1">
        <v>7</v>
      </c>
      <c r="L1120" s="1">
        <v>4</v>
      </c>
      <c r="M1120" s="8">
        <v>0</v>
      </c>
    </row>
    <row r="1121" spans="1:13" hidden="1" x14ac:dyDescent="0.25">
      <c r="A1121" s="7">
        <v>18</v>
      </c>
      <c r="B1121" s="1" t="s">
        <v>34</v>
      </c>
      <c r="C1121" s="1">
        <v>5.6</v>
      </c>
      <c r="D1121" s="1" t="s">
        <v>41</v>
      </c>
      <c r="E1121" s="1">
        <v>8</v>
      </c>
      <c r="F1121" s="1">
        <v>2.4</v>
      </c>
      <c r="G1121" s="1">
        <v>2.95</v>
      </c>
      <c r="H1121" s="1">
        <v>0</v>
      </c>
      <c r="I1121" s="1" t="s">
        <v>36</v>
      </c>
      <c r="J1121" s="1">
        <v>2</v>
      </c>
      <c r="K1121" s="1">
        <v>10</v>
      </c>
      <c r="L1121" s="1">
        <v>3</v>
      </c>
      <c r="M1121" s="8">
        <v>0</v>
      </c>
    </row>
    <row r="1122" spans="1:13" hidden="1" x14ac:dyDescent="0.25">
      <c r="A1122" s="7">
        <v>16</v>
      </c>
      <c r="B1122" s="1" t="s">
        <v>34</v>
      </c>
      <c r="C1122" s="1">
        <v>3.9</v>
      </c>
      <c r="D1122" s="1" t="s">
        <v>38</v>
      </c>
      <c r="E1122" s="1">
        <v>4.2</v>
      </c>
      <c r="F1122" s="1">
        <v>2.1</v>
      </c>
      <c r="G1122" s="1">
        <v>2.2799999999999998</v>
      </c>
      <c r="H1122" s="1">
        <v>1.1000000000000001</v>
      </c>
      <c r="I1122" s="1" t="s">
        <v>40</v>
      </c>
      <c r="J1122" s="1">
        <v>6</v>
      </c>
      <c r="K1122" s="1">
        <v>5</v>
      </c>
      <c r="L1122" s="1">
        <v>7</v>
      </c>
      <c r="M1122" s="8">
        <v>0</v>
      </c>
    </row>
    <row r="1123" spans="1:13" hidden="1" x14ac:dyDescent="0.25">
      <c r="A1123" s="7">
        <v>18</v>
      </c>
      <c r="B1123" s="1" t="s">
        <v>37</v>
      </c>
      <c r="C1123" s="1">
        <v>1.8</v>
      </c>
      <c r="D1123" s="1" t="s">
        <v>38</v>
      </c>
      <c r="E1123" s="1">
        <v>6.1</v>
      </c>
      <c r="F1123" s="1">
        <v>2.7</v>
      </c>
      <c r="G1123" s="1">
        <v>2.86</v>
      </c>
      <c r="H1123" s="1">
        <v>1.1000000000000001</v>
      </c>
      <c r="I1123" s="1" t="s">
        <v>36</v>
      </c>
      <c r="J1123" s="1">
        <v>4</v>
      </c>
      <c r="K1123" s="1">
        <v>2</v>
      </c>
      <c r="L1123" s="1">
        <v>4</v>
      </c>
      <c r="M1123" s="8">
        <v>0</v>
      </c>
    </row>
    <row r="1124" spans="1:13" hidden="1" x14ac:dyDescent="0.25">
      <c r="A1124" s="7">
        <v>18</v>
      </c>
      <c r="B1124" s="1" t="s">
        <v>37</v>
      </c>
      <c r="C1124" s="1">
        <v>5.8</v>
      </c>
      <c r="D1124" s="1" t="s">
        <v>41</v>
      </c>
      <c r="E1124" s="1">
        <v>5.0999999999999996</v>
      </c>
      <c r="F1124" s="1">
        <v>1.2</v>
      </c>
      <c r="G1124" s="1">
        <v>3.24</v>
      </c>
      <c r="H1124" s="1">
        <v>0.4</v>
      </c>
      <c r="I1124" s="1" t="s">
        <v>39</v>
      </c>
      <c r="J1124" s="1">
        <v>5</v>
      </c>
      <c r="K1124" s="1">
        <v>9</v>
      </c>
      <c r="L1124" s="1">
        <v>2</v>
      </c>
      <c r="M1124" s="8">
        <v>0</v>
      </c>
    </row>
    <row r="1125" spans="1:13" x14ac:dyDescent="0.25">
      <c r="A1125" s="7">
        <v>18</v>
      </c>
      <c r="B1125" s="1" t="s">
        <v>37</v>
      </c>
      <c r="C1125" s="1">
        <v>2.2000000000000002</v>
      </c>
      <c r="D1125" s="1" t="s">
        <v>35</v>
      </c>
      <c r="E1125" s="1">
        <v>4.4000000000000004</v>
      </c>
      <c r="F1125" s="1">
        <v>1.7</v>
      </c>
      <c r="G1125" s="1">
        <v>2.86</v>
      </c>
      <c r="H1125" s="1">
        <v>1.1000000000000001</v>
      </c>
      <c r="I1125" s="1" t="s">
        <v>39</v>
      </c>
      <c r="J1125" s="1">
        <v>8</v>
      </c>
      <c r="K1125" s="1">
        <v>9</v>
      </c>
      <c r="L1125" s="1">
        <v>7</v>
      </c>
      <c r="M1125" s="8">
        <v>0</v>
      </c>
    </row>
    <row r="1126" spans="1:13" hidden="1" x14ac:dyDescent="0.25">
      <c r="A1126" s="7">
        <v>17</v>
      </c>
      <c r="B1126" s="1" t="s">
        <v>34</v>
      </c>
      <c r="C1126" s="1">
        <v>6.9</v>
      </c>
      <c r="D1126" s="1" t="s">
        <v>41</v>
      </c>
      <c r="E1126" s="1">
        <v>4.5999999999999996</v>
      </c>
      <c r="F1126" s="1">
        <v>2.5</v>
      </c>
      <c r="G1126" s="1">
        <v>2.04</v>
      </c>
      <c r="H1126" s="1">
        <v>0.8</v>
      </c>
      <c r="I1126" s="1" t="s">
        <v>39</v>
      </c>
      <c r="J1126" s="1">
        <v>10</v>
      </c>
      <c r="K1126" s="1">
        <v>9</v>
      </c>
      <c r="L1126" s="1">
        <v>2</v>
      </c>
      <c r="M1126" s="8">
        <v>1</v>
      </c>
    </row>
    <row r="1127" spans="1:13" x14ac:dyDescent="0.25">
      <c r="A1127" s="7">
        <v>14</v>
      </c>
      <c r="B1127" s="1" t="s">
        <v>37</v>
      </c>
      <c r="C1127" s="1">
        <v>5.7</v>
      </c>
      <c r="D1127" s="1" t="s">
        <v>35</v>
      </c>
      <c r="E1127" s="1">
        <v>6.7</v>
      </c>
      <c r="F1127" s="1">
        <v>2.6</v>
      </c>
      <c r="G1127" s="1">
        <v>2.35</v>
      </c>
      <c r="H1127" s="1">
        <v>1.8</v>
      </c>
      <c r="I1127" s="1" t="s">
        <v>39</v>
      </c>
      <c r="J1127" s="1">
        <v>10</v>
      </c>
      <c r="K1127" s="1">
        <v>10</v>
      </c>
      <c r="L1127" s="1">
        <v>7</v>
      </c>
      <c r="M1127" s="8">
        <v>0</v>
      </c>
    </row>
    <row r="1128" spans="1:13" hidden="1" x14ac:dyDescent="0.25">
      <c r="A1128" s="7">
        <v>17</v>
      </c>
      <c r="B1128" s="1" t="s">
        <v>34</v>
      </c>
      <c r="C1128" s="1">
        <v>7.5</v>
      </c>
      <c r="D1128" s="1" t="s">
        <v>38</v>
      </c>
      <c r="E1128" s="1">
        <v>5.6</v>
      </c>
      <c r="F1128" s="1">
        <v>2.2999999999999998</v>
      </c>
      <c r="G1128" s="1">
        <v>2.37</v>
      </c>
      <c r="H1128" s="1">
        <v>0</v>
      </c>
      <c r="I1128" s="1" t="s">
        <v>39</v>
      </c>
      <c r="J1128" s="1">
        <v>3</v>
      </c>
      <c r="K1128" s="1">
        <v>10</v>
      </c>
      <c r="L1128" s="1">
        <v>8</v>
      </c>
      <c r="M1128" s="8">
        <v>0</v>
      </c>
    </row>
    <row r="1129" spans="1:13" hidden="1" x14ac:dyDescent="0.25">
      <c r="A1129" s="7">
        <v>13</v>
      </c>
      <c r="B1129" s="1" t="s">
        <v>34</v>
      </c>
      <c r="C1129" s="1">
        <v>5.2</v>
      </c>
      <c r="D1129" s="1" t="s">
        <v>41</v>
      </c>
      <c r="E1129" s="1">
        <v>6.4</v>
      </c>
      <c r="F1129" s="1">
        <v>2.5</v>
      </c>
      <c r="G1129" s="1">
        <v>3.13</v>
      </c>
      <c r="H1129" s="1">
        <v>0.3</v>
      </c>
      <c r="I1129" s="1" t="s">
        <v>40</v>
      </c>
      <c r="J1129" s="1">
        <v>8</v>
      </c>
      <c r="K1129" s="1">
        <v>6</v>
      </c>
      <c r="L1129" s="1">
        <v>7</v>
      </c>
      <c r="M1129" s="8">
        <v>0</v>
      </c>
    </row>
    <row r="1130" spans="1:13" hidden="1" x14ac:dyDescent="0.25">
      <c r="A1130" s="7">
        <v>16</v>
      </c>
      <c r="B1130" s="1" t="s">
        <v>34</v>
      </c>
      <c r="C1130" s="1">
        <v>7.2</v>
      </c>
      <c r="D1130" s="1" t="s">
        <v>41</v>
      </c>
      <c r="E1130" s="1">
        <v>6.9</v>
      </c>
      <c r="F1130" s="1">
        <v>2.1</v>
      </c>
      <c r="G1130" s="1">
        <v>2.3199999999999998</v>
      </c>
      <c r="H1130" s="1">
        <v>1.1000000000000001</v>
      </c>
      <c r="I1130" s="1" t="s">
        <v>36</v>
      </c>
      <c r="J1130" s="1">
        <v>3</v>
      </c>
      <c r="K1130" s="1">
        <v>4</v>
      </c>
      <c r="L1130" s="1">
        <v>10</v>
      </c>
      <c r="M1130" s="8">
        <v>0</v>
      </c>
    </row>
    <row r="1131" spans="1:13" hidden="1" x14ac:dyDescent="0.25">
      <c r="A1131" s="7">
        <v>19</v>
      </c>
      <c r="B1131" s="1" t="s">
        <v>34</v>
      </c>
      <c r="C1131" s="1">
        <v>2</v>
      </c>
      <c r="D1131" s="1" t="s">
        <v>38</v>
      </c>
      <c r="E1131" s="1">
        <v>4.3</v>
      </c>
      <c r="F1131" s="1">
        <v>0.8</v>
      </c>
      <c r="G1131" s="1">
        <v>3.4</v>
      </c>
      <c r="H1131" s="1">
        <v>0.7</v>
      </c>
      <c r="I1131" s="1" t="s">
        <v>36</v>
      </c>
      <c r="J1131" s="1">
        <v>8</v>
      </c>
      <c r="K1131" s="1">
        <v>1</v>
      </c>
      <c r="L1131" s="1">
        <v>1</v>
      </c>
      <c r="M1131" s="8">
        <v>0</v>
      </c>
    </row>
    <row r="1132" spans="1:13" hidden="1" x14ac:dyDescent="0.25">
      <c r="A1132" s="7">
        <v>13</v>
      </c>
      <c r="B1132" s="1" t="s">
        <v>37</v>
      </c>
      <c r="C1132" s="1">
        <v>4.7</v>
      </c>
      <c r="D1132" s="1" t="s">
        <v>41</v>
      </c>
      <c r="E1132" s="1">
        <v>6.8</v>
      </c>
      <c r="F1132" s="1">
        <v>1.4</v>
      </c>
      <c r="G1132" s="1">
        <v>3.91</v>
      </c>
      <c r="H1132" s="1">
        <v>0.8</v>
      </c>
      <c r="I1132" s="1" t="s">
        <v>39</v>
      </c>
      <c r="J1132" s="1">
        <v>10</v>
      </c>
      <c r="K1132" s="1">
        <v>6</v>
      </c>
      <c r="L1132" s="1">
        <v>9</v>
      </c>
      <c r="M1132" s="8">
        <v>0</v>
      </c>
    </row>
    <row r="1133" spans="1:13" hidden="1" x14ac:dyDescent="0.25">
      <c r="A1133" s="7">
        <v>14</v>
      </c>
      <c r="B1133" s="1" t="s">
        <v>34</v>
      </c>
      <c r="C1133" s="1">
        <v>5.6</v>
      </c>
      <c r="D1133" s="1" t="s">
        <v>41</v>
      </c>
      <c r="E1133" s="1">
        <v>4.5</v>
      </c>
      <c r="F1133" s="1">
        <v>1.4</v>
      </c>
      <c r="G1133" s="1">
        <v>2.44</v>
      </c>
      <c r="H1133" s="1">
        <v>1.2</v>
      </c>
      <c r="I1133" s="1" t="s">
        <v>36</v>
      </c>
      <c r="J1133" s="1">
        <v>5</v>
      </c>
      <c r="K1133" s="1">
        <v>10</v>
      </c>
      <c r="L1133" s="1">
        <v>9</v>
      </c>
      <c r="M1133" s="8">
        <v>0</v>
      </c>
    </row>
    <row r="1134" spans="1:13" x14ac:dyDescent="0.25">
      <c r="A1134" s="7">
        <v>18</v>
      </c>
      <c r="B1134" s="1" t="s">
        <v>37</v>
      </c>
      <c r="C1134" s="1">
        <v>4.5</v>
      </c>
      <c r="D1134" s="1" t="s">
        <v>35</v>
      </c>
      <c r="E1134" s="1">
        <v>4</v>
      </c>
      <c r="F1134" s="1">
        <v>2.9</v>
      </c>
      <c r="G1134" s="1">
        <v>3.15</v>
      </c>
      <c r="H1134" s="1">
        <v>1.9</v>
      </c>
      <c r="I1134" s="1" t="s">
        <v>40</v>
      </c>
      <c r="J1134" s="1">
        <v>8</v>
      </c>
      <c r="K1134" s="1">
        <v>6</v>
      </c>
      <c r="L1134" s="1">
        <v>5</v>
      </c>
      <c r="M1134" s="8">
        <v>0</v>
      </c>
    </row>
    <row r="1135" spans="1:13" x14ac:dyDescent="0.25">
      <c r="A1135" s="7">
        <v>15</v>
      </c>
      <c r="B1135" s="1" t="s">
        <v>37</v>
      </c>
      <c r="C1135" s="1">
        <v>1.1000000000000001</v>
      </c>
      <c r="D1135" s="1" t="s">
        <v>35</v>
      </c>
      <c r="E1135" s="1">
        <v>9</v>
      </c>
      <c r="F1135" s="1">
        <v>1.2</v>
      </c>
      <c r="G1135" s="1">
        <v>2.9</v>
      </c>
      <c r="H1135" s="1">
        <v>1.8</v>
      </c>
      <c r="I1135" s="1" t="s">
        <v>40</v>
      </c>
      <c r="J1135" s="1">
        <v>5</v>
      </c>
      <c r="K1135" s="1">
        <v>10</v>
      </c>
      <c r="L1135" s="1">
        <v>2</v>
      </c>
      <c r="M1135" s="8">
        <v>0</v>
      </c>
    </row>
    <row r="1136" spans="1:13" hidden="1" x14ac:dyDescent="0.25">
      <c r="A1136" s="7">
        <v>18</v>
      </c>
      <c r="B1136" s="1" t="s">
        <v>37</v>
      </c>
      <c r="C1136" s="1">
        <v>5.3</v>
      </c>
      <c r="D1136" s="1" t="s">
        <v>41</v>
      </c>
      <c r="E1136" s="1">
        <v>4.5999999999999996</v>
      </c>
      <c r="F1136" s="1">
        <v>1.5</v>
      </c>
      <c r="G1136" s="1">
        <v>2.54</v>
      </c>
      <c r="H1136" s="1">
        <v>0.6</v>
      </c>
      <c r="I1136" s="1" t="s">
        <v>40</v>
      </c>
      <c r="J1136" s="1">
        <v>4</v>
      </c>
      <c r="K1136" s="1">
        <v>3</v>
      </c>
      <c r="L1136" s="1">
        <v>4</v>
      </c>
      <c r="M1136" s="8">
        <v>0</v>
      </c>
    </row>
    <row r="1137" spans="1:13" hidden="1" x14ac:dyDescent="0.25">
      <c r="A1137" s="7">
        <v>14</v>
      </c>
      <c r="B1137" s="1" t="s">
        <v>37</v>
      </c>
      <c r="C1137" s="1">
        <v>3.5</v>
      </c>
      <c r="D1137" s="1" t="s">
        <v>41</v>
      </c>
      <c r="E1137" s="1">
        <v>5.3</v>
      </c>
      <c r="F1137" s="1">
        <v>2.5</v>
      </c>
      <c r="G1137" s="1">
        <v>2.29</v>
      </c>
      <c r="H1137" s="1">
        <v>0.7</v>
      </c>
      <c r="I1137" s="1" t="s">
        <v>36</v>
      </c>
      <c r="J1137" s="1">
        <v>1</v>
      </c>
      <c r="K1137" s="1">
        <v>10</v>
      </c>
      <c r="L1137" s="1">
        <v>3</v>
      </c>
      <c r="M1137" s="8">
        <v>0</v>
      </c>
    </row>
    <row r="1138" spans="1:13" hidden="1" x14ac:dyDescent="0.25">
      <c r="A1138" s="7">
        <v>15</v>
      </c>
      <c r="B1138" s="1" t="s">
        <v>34</v>
      </c>
      <c r="C1138" s="1">
        <v>6.5</v>
      </c>
      <c r="D1138" s="1" t="s">
        <v>41</v>
      </c>
      <c r="E1138" s="1">
        <v>6.2</v>
      </c>
      <c r="F1138" s="1">
        <v>1.2</v>
      </c>
      <c r="G1138" s="1">
        <v>3.19</v>
      </c>
      <c r="H1138" s="1">
        <v>0</v>
      </c>
      <c r="I1138" s="1" t="s">
        <v>40</v>
      </c>
      <c r="J1138" s="1">
        <v>6</v>
      </c>
      <c r="K1138" s="1">
        <v>5</v>
      </c>
      <c r="L1138" s="1">
        <v>2</v>
      </c>
      <c r="M1138" s="8">
        <v>0</v>
      </c>
    </row>
    <row r="1139" spans="1:13" hidden="1" x14ac:dyDescent="0.25">
      <c r="A1139" s="7">
        <v>14</v>
      </c>
      <c r="B1139" s="1" t="s">
        <v>34</v>
      </c>
      <c r="C1139" s="1">
        <v>7</v>
      </c>
      <c r="D1139" s="1" t="s">
        <v>41</v>
      </c>
      <c r="E1139" s="1">
        <v>6.7</v>
      </c>
      <c r="F1139" s="1">
        <v>1.9</v>
      </c>
      <c r="G1139" s="1">
        <v>2.48</v>
      </c>
      <c r="H1139" s="1">
        <v>1.3</v>
      </c>
      <c r="I1139" s="1" t="s">
        <v>36</v>
      </c>
      <c r="J1139" s="1">
        <v>7</v>
      </c>
      <c r="K1139" s="1">
        <v>1</v>
      </c>
      <c r="L1139" s="1">
        <v>5</v>
      </c>
      <c r="M1139" s="8">
        <v>0</v>
      </c>
    </row>
    <row r="1140" spans="1:13" hidden="1" x14ac:dyDescent="0.25">
      <c r="A1140" s="7">
        <v>14</v>
      </c>
      <c r="B1140" s="1" t="s">
        <v>37</v>
      </c>
      <c r="C1140" s="1">
        <v>4</v>
      </c>
      <c r="D1140" s="1" t="s">
        <v>38</v>
      </c>
      <c r="E1140" s="1">
        <v>4.0999999999999996</v>
      </c>
      <c r="F1140" s="1">
        <v>0.9</v>
      </c>
      <c r="G1140" s="1">
        <v>2.99</v>
      </c>
      <c r="H1140" s="1">
        <v>1.9</v>
      </c>
      <c r="I1140" s="1" t="s">
        <v>36</v>
      </c>
      <c r="J1140" s="1">
        <v>2</v>
      </c>
      <c r="K1140" s="1">
        <v>9</v>
      </c>
      <c r="L1140" s="1">
        <v>10</v>
      </c>
      <c r="M1140" s="8">
        <v>0</v>
      </c>
    </row>
    <row r="1141" spans="1:13" x14ac:dyDescent="0.25">
      <c r="A1141" s="7">
        <v>15</v>
      </c>
      <c r="B1141" s="1" t="s">
        <v>37</v>
      </c>
      <c r="C1141" s="1">
        <v>1.7</v>
      </c>
      <c r="D1141" s="1" t="s">
        <v>35</v>
      </c>
      <c r="E1141" s="1">
        <v>5.3</v>
      </c>
      <c r="F1141" s="1">
        <v>1.5</v>
      </c>
      <c r="G1141" s="1">
        <v>3.6</v>
      </c>
      <c r="H1141" s="1">
        <v>1.5</v>
      </c>
      <c r="I1141" s="1" t="s">
        <v>39</v>
      </c>
      <c r="J1141" s="1">
        <v>6</v>
      </c>
      <c r="K1141" s="1">
        <v>4</v>
      </c>
      <c r="L1141" s="1">
        <v>3</v>
      </c>
      <c r="M1141" s="8">
        <v>0</v>
      </c>
    </row>
    <row r="1142" spans="1:13" hidden="1" x14ac:dyDescent="0.25">
      <c r="A1142" s="7">
        <v>14</v>
      </c>
      <c r="B1142" s="1" t="s">
        <v>37</v>
      </c>
      <c r="C1142" s="1">
        <v>7.8</v>
      </c>
      <c r="D1142" s="1" t="s">
        <v>38</v>
      </c>
      <c r="E1142" s="1">
        <v>4.7</v>
      </c>
      <c r="F1142" s="1">
        <v>2.2000000000000002</v>
      </c>
      <c r="G1142" s="1">
        <v>3.53</v>
      </c>
      <c r="H1142" s="1">
        <v>0.6</v>
      </c>
      <c r="I1142" s="1" t="s">
        <v>36</v>
      </c>
      <c r="J1142" s="1">
        <v>5</v>
      </c>
      <c r="K1142" s="1">
        <v>8</v>
      </c>
      <c r="L1142" s="1">
        <v>2</v>
      </c>
      <c r="M1142" s="8">
        <v>0</v>
      </c>
    </row>
    <row r="1143" spans="1:13" x14ac:dyDescent="0.25">
      <c r="A1143" s="7">
        <v>15</v>
      </c>
      <c r="B1143" s="1" t="s">
        <v>37</v>
      </c>
      <c r="C1143" s="1">
        <v>5.2</v>
      </c>
      <c r="D1143" s="1" t="s">
        <v>35</v>
      </c>
      <c r="E1143" s="1">
        <v>6.7</v>
      </c>
      <c r="F1143" s="1">
        <v>3</v>
      </c>
      <c r="G1143" s="1">
        <v>3.18</v>
      </c>
      <c r="H1143" s="1">
        <v>0.6</v>
      </c>
      <c r="I1143" s="1" t="s">
        <v>36</v>
      </c>
      <c r="J1143" s="1">
        <v>9</v>
      </c>
      <c r="K1143" s="1">
        <v>7</v>
      </c>
      <c r="L1143" s="1">
        <v>9</v>
      </c>
      <c r="M1143" s="8">
        <v>0</v>
      </c>
    </row>
    <row r="1144" spans="1:13" hidden="1" x14ac:dyDescent="0.25">
      <c r="A1144" s="7">
        <v>19</v>
      </c>
      <c r="B1144" s="1" t="s">
        <v>37</v>
      </c>
      <c r="C1144" s="1">
        <v>7.9</v>
      </c>
      <c r="D1144" s="1" t="s">
        <v>38</v>
      </c>
      <c r="E1144" s="1">
        <v>5.8</v>
      </c>
      <c r="F1144" s="1">
        <v>2.1</v>
      </c>
      <c r="G1144" s="1">
        <v>3.91</v>
      </c>
      <c r="H1144" s="1">
        <v>1.4</v>
      </c>
      <c r="I1144" s="1" t="s">
        <v>39</v>
      </c>
      <c r="J1144" s="1">
        <v>7</v>
      </c>
      <c r="K1144" s="1">
        <v>1</v>
      </c>
      <c r="L1144" s="1">
        <v>10</v>
      </c>
      <c r="M1144" s="8">
        <v>0</v>
      </c>
    </row>
    <row r="1145" spans="1:13" hidden="1" x14ac:dyDescent="0.25">
      <c r="A1145" s="7">
        <v>17</v>
      </c>
      <c r="B1145" s="1" t="s">
        <v>34</v>
      </c>
      <c r="C1145" s="1">
        <v>5.9</v>
      </c>
      <c r="D1145" s="1" t="s">
        <v>41</v>
      </c>
      <c r="E1145" s="1">
        <v>6.6</v>
      </c>
      <c r="F1145" s="1">
        <v>1.3</v>
      </c>
      <c r="G1145" s="1">
        <v>2.11</v>
      </c>
      <c r="H1145" s="1">
        <v>1.4</v>
      </c>
      <c r="I1145" s="1" t="s">
        <v>36</v>
      </c>
      <c r="J1145" s="1">
        <v>10</v>
      </c>
      <c r="K1145" s="1">
        <v>4</v>
      </c>
      <c r="L1145" s="1">
        <v>9</v>
      </c>
      <c r="M1145" s="8">
        <v>0</v>
      </c>
    </row>
    <row r="1146" spans="1:13" hidden="1" x14ac:dyDescent="0.25">
      <c r="A1146" s="7">
        <v>13</v>
      </c>
      <c r="B1146" s="1" t="s">
        <v>37</v>
      </c>
      <c r="C1146" s="1">
        <v>2.6</v>
      </c>
      <c r="D1146" s="1" t="s">
        <v>38</v>
      </c>
      <c r="E1146" s="1">
        <v>8.5</v>
      </c>
      <c r="F1146" s="1">
        <v>1.9</v>
      </c>
      <c r="G1146" s="1">
        <v>3.06</v>
      </c>
      <c r="H1146" s="1">
        <v>1.9</v>
      </c>
      <c r="I1146" s="1" t="s">
        <v>39</v>
      </c>
      <c r="J1146" s="1">
        <v>5</v>
      </c>
      <c r="K1146" s="1">
        <v>7</v>
      </c>
      <c r="L1146" s="1">
        <v>6</v>
      </c>
      <c r="M1146" s="8">
        <v>0</v>
      </c>
    </row>
    <row r="1147" spans="1:13" hidden="1" x14ac:dyDescent="0.25">
      <c r="A1147" s="7">
        <v>18</v>
      </c>
      <c r="B1147" s="1" t="s">
        <v>37</v>
      </c>
      <c r="C1147" s="1">
        <v>6.3</v>
      </c>
      <c r="D1147" s="1" t="s">
        <v>38</v>
      </c>
      <c r="E1147" s="1">
        <v>4.8</v>
      </c>
      <c r="F1147" s="1">
        <v>1.2</v>
      </c>
      <c r="G1147" s="1">
        <v>2.91</v>
      </c>
      <c r="H1147" s="1">
        <v>1.3</v>
      </c>
      <c r="I1147" s="1" t="s">
        <v>40</v>
      </c>
      <c r="J1147" s="1">
        <v>9</v>
      </c>
      <c r="K1147" s="1">
        <v>10</v>
      </c>
      <c r="L1147" s="1">
        <v>3</v>
      </c>
      <c r="M1147" s="8">
        <v>1</v>
      </c>
    </row>
    <row r="1148" spans="1:13" hidden="1" x14ac:dyDescent="0.25">
      <c r="A1148" s="7">
        <v>19</v>
      </c>
      <c r="B1148" s="1" t="s">
        <v>37</v>
      </c>
      <c r="C1148" s="1">
        <v>4.5</v>
      </c>
      <c r="D1148" s="1" t="s">
        <v>38</v>
      </c>
      <c r="E1148" s="1">
        <v>8.4</v>
      </c>
      <c r="F1148" s="1">
        <v>2.1</v>
      </c>
      <c r="G1148" s="1">
        <v>2.62</v>
      </c>
      <c r="H1148" s="1">
        <v>2</v>
      </c>
      <c r="I1148" s="1" t="s">
        <v>36</v>
      </c>
      <c r="J1148" s="1">
        <v>5</v>
      </c>
      <c r="K1148" s="1">
        <v>10</v>
      </c>
      <c r="L1148" s="1">
        <v>5</v>
      </c>
      <c r="M1148" s="8">
        <v>0</v>
      </c>
    </row>
    <row r="1149" spans="1:13" hidden="1" x14ac:dyDescent="0.25">
      <c r="A1149" s="7">
        <v>19</v>
      </c>
      <c r="B1149" s="1" t="s">
        <v>34</v>
      </c>
      <c r="C1149" s="1">
        <v>5.3</v>
      </c>
      <c r="D1149" s="1" t="s">
        <v>35</v>
      </c>
      <c r="E1149" s="1">
        <v>4.7</v>
      </c>
      <c r="F1149" s="1">
        <v>2.8</v>
      </c>
      <c r="G1149" s="1">
        <v>2.82</v>
      </c>
      <c r="H1149" s="1">
        <v>0.3</v>
      </c>
      <c r="I1149" s="1" t="s">
        <v>39</v>
      </c>
      <c r="J1149" s="1">
        <v>1</v>
      </c>
      <c r="K1149" s="1">
        <v>9</v>
      </c>
      <c r="L1149" s="1">
        <v>6</v>
      </c>
      <c r="M1149" s="8">
        <v>0</v>
      </c>
    </row>
    <row r="1150" spans="1:13" hidden="1" x14ac:dyDescent="0.25">
      <c r="A1150" s="7">
        <v>13</v>
      </c>
      <c r="B1150" s="1" t="s">
        <v>37</v>
      </c>
      <c r="C1150" s="1">
        <v>5.2</v>
      </c>
      <c r="D1150" s="1" t="s">
        <v>41</v>
      </c>
      <c r="E1150" s="1">
        <v>7.4</v>
      </c>
      <c r="F1150" s="1">
        <v>2.5</v>
      </c>
      <c r="G1150" s="1">
        <v>3.93</v>
      </c>
      <c r="H1150" s="1">
        <v>0.8</v>
      </c>
      <c r="I1150" s="1" t="s">
        <v>36</v>
      </c>
      <c r="J1150" s="1">
        <v>4</v>
      </c>
      <c r="K1150" s="1">
        <v>4</v>
      </c>
      <c r="L1150" s="1">
        <v>8</v>
      </c>
      <c r="M1150" s="8">
        <v>0</v>
      </c>
    </row>
    <row r="1151" spans="1:13" hidden="1" x14ac:dyDescent="0.25">
      <c r="A1151" s="7">
        <v>15</v>
      </c>
      <c r="B1151" s="1" t="s">
        <v>34</v>
      </c>
      <c r="C1151" s="1">
        <v>3.3</v>
      </c>
      <c r="D1151" s="1" t="s">
        <v>41</v>
      </c>
      <c r="E1151" s="1">
        <v>6.1</v>
      </c>
      <c r="F1151" s="1">
        <v>1.2</v>
      </c>
      <c r="G1151" s="1">
        <v>2.56</v>
      </c>
      <c r="H1151" s="1">
        <v>1.4</v>
      </c>
      <c r="I1151" s="1" t="s">
        <v>36</v>
      </c>
      <c r="J1151" s="1">
        <v>8</v>
      </c>
      <c r="K1151" s="1">
        <v>6</v>
      </c>
      <c r="L1151" s="1">
        <v>3</v>
      </c>
      <c r="M1151" s="8">
        <v>0</v>
      </c>
    </row>
    <row r="1152" spans="1:13" hidden="1" x14ac:dyDescent="0.25">
      <c r="A1152" s="7">
        <v>14</v>
      </c>
      <c r="B1152" s="1" t="s">
        <v>37</v>
      </c>
      <c r="C1152" s="1">
        <v>1.1000000000000001</v>
      </c>
      <c r="D1152" s="1" t="s">
        <v>41</v>
      </c>
      <c r="E1152" s="1">
        <v>5.4</v>
      </c>
      <c r="F1152" s="1">
        <v>1.6</v>
      </c>
      <c r="G1152" s="1">
        <v>3.34</v>
      </c>
      <c r="H1152" s="1">
        <v>1.5</v>
      </c>
      <c r="I1152" s="1" t="s">
        <v>40</v>
      </c>
      <c r="J1152" s="1">
        <v>4</v>
      </c>
      <c r="K1152" s="1">
        <v>5</v>
      </c>
      <c r="L1152" s="1">
        <v>8</v>
      </c>
      <c r="M1152" s="8">
        <v>0</v>
      </c>
    </row>
    <row r="1153" spans="1:13" x14ac:dyDescent="0.25">
      <c r="A1153" s="7">
        <v>17</v>
      </c>
      <c r="B1153" s="1" t="s">
        <v>37</v>
      </c>
      <c r="C1153" s="1">
        <v>5</v>
      </c>
      <c r="D1153" s="1" t="s">
        <v>35</v>
      </c>
      <c r="E1153" s="1">
        <v>7.3</v>
      </c>
      <c r="F1153" s="1">
        <v>1.2</v>
      </c>
      <c r="G1153" s="1">
        <v>3.39</v>
      </c>
      <c r="H1153" s="1">
        <v>0.7</v>
      </c>
      <c r="I1153" s="1" t="s">
        <v>40</v>
      </c>
      <c r="J1153" s="1">
        <v>9</v>
      </c>
      <c r="K1153" s="1">
        <v>10</v>
      </c>
      <c r="L1153" s="1">
        <v>8</v>
      </c>
      <c r="M1153" s="8">
        <v>0</v>
      </c>
    </row>
    <row r="1154" spans="1:13" hidden="1" x14ac:dyDescent="0.25">
      <c r="A1154" s="7">
        <v>15</v>
      </c>
      <c r="B1154" s="1" t="s">
        <v>37</v>
      </c>
      <c r="C1154" s="1">
        <v>7.4</v>
      </c>
      <c r="D1154" s="1" t="s">
        <v>38</v>
      </c>
      <c r="E1154" s="1">
        <v>8.6</v>
      </c>
      <c r="F1154" s="1">
        <v>1.4</v>
      </c>
      <c r="G1154" s="1">
        <v>2.19</v>
      </c>
      <c r="H1154" s="1">
        <v>1.8</v>
      </c>
      <c r="I1154" s="1" t="s">
        <v>36</v>
      </c>
      <c r="J1154" s="1">
        <v>10</v>
      </c>
      <c r="K1154" s="1">
        <v>10</v>
      </c>
      <c r="L1154" s="1">
        <v>1</v>
      </c>
      <c r="M1154" s="8">
        <v>0</v>
      </c>
    </row>
    <row r="1155" spans="1:13" hidden="1" x14ac:dyDescent="0.25">
      <c r="A1155" s="7">
        <v>15</v>
      </c>
      <c r="B1155" s="1" t="s">
        <v>37</v>
      </c>
      <c r="C1155" s="1">
        <v>7.4</v>
      </c>
      <c r="D1155" s="1" t="s">
        <v>38</v>
      </c>
      <c r="E1155" s="1">
        <v>8.9</v>
      </c>
      <c r="F1155" s="1">
        <v>2.9</v>
      </c>
      <c r="G1155" s="1">
        <v>3.39</v>
      </c>
      <c r="H1155" s="1">
        <v>1.1000000000000001</v>
      </c>
      <c r="I1155" s="1" t="s">
        <v>39</v>
      </c>
      <c r="J1155" s="1">
        <v>4</v>
      </c>
      <c r="K1155" s="1">
        <v>9</v>
      </c>
      <c r="L1155" s="1">
        <v>1</v>
      </c>
      <c r="M1155" s="8">
        <v>0</v>
      </c>
    </row>
    <row r="1156" spans="1:13" hidden="1" x14ac:dyDescent="0.25">
      <c r="A1156" s="7">
        <v>17</v>
      </c>
      <c r="B1156" s="1" t="s">
        <v>34</v>
      </c>
      <c r="C1156" s="1">
        <v>6.6</v>
      </c>
      <c r="D1156" s="1" t="s">
        <v>38</v>
      </c>
      <c r="E1156" s="1">
        <v>5.2</v>
      </c>
      <c r="F1156" s="1">
        <v>2.2000000000000002</v>
      </c>
      <c r="G1156" s="1">
        <v>2.98</v>
      </c>
      <c r="H1156" s="1">
        <v>0.8</v>
      </c>
      <c r="I1156" s="1" t="s">
        <v>39</v>
      </c>
      <c r="J1156" s="1">
        <v>6</v>
      </c>
      <c r="K1156" s="1">
        <v>8</v>
      </c>
      <c r="L1156" s="1">
        <v>7</v>
      </c>
      <c r="M1156" s="8">
        <v>0</v>
      </c>
    </row>
    <row r="1157" spans="1:13" hidden="1" x14ac:dyDescent="0.25">
      <c r="A1157" s="7">
        <v>13</v>
      </c>
      <c r="B1157" s="1" t="s">
        <v>37</v>
      </c>
      <c r="C1157" s="1">
        <v>7.1</v>
      </c>
      <c r="D1157" s="1" t="s">
        <v>41</v>
      </c>
      <c r="E1157" s="1">
        <v>7.2</v>
      </c>
      <c r="F1157" s="1">
        <v>1.1000000000000001</v>
      </c>
      <c r="G1157" s="1">
        <v>3.69</v>
      </c>
      <c r="H1157" s="1">
        <v>1</v>
      </c>
      <c r="I1157" s="1" t="s">
        <v>36</v>
      </c>
      <c r="J1157" s="1">
        <v>4</v>
      </c>
      <c r="K1157" s="1">
        <v>6</v>
      </c>
      <c r="L1157" s="1">
        <v>3</v>
      </c>
      <c r="M1157" s="8">
        <v>0</v>
      </c>
    </row>
    <row r="1158" spans="1:13" hidden="1" x14ac:dyDescent="0.25">
      <c r="A1158" s="7">
        <v>15</v>
      </c>
      <c r="B1158" s="1" t="s">
        <v>37</v>
      </c>
      <c r="C1158" s="1">
        <v>1.1000000000000001</v>
      </c>
      <c r="D1158" s="1" t="s">
        <v>38</v>
      </c>
      <c r="E1158" s="1">
        <v>8.6</v>
      </c>
      <c r="F1158" s="1">
        <v>2.2999999999999998</v>
      </c>
      <c r="G1158" s="1">
        <v>3.68</v>
      </c>
      <c r="H1158" s="1">
        <v>0.5</v>
      </c>
      <c r="I1158" s="1" t="s">
        <v>36</v>
      </c>
      <c r="J1158" s="1">
        <v>1</v>
      </c>
      <c r="K1158" s="1">
        <v>2</v>
      </c>
      <c r="L1158" s="1">
        <v>7</v>
      </c>
      <c r="M1158" s="8">
        <v>0</v>
      </c>
    </row>
    <row r="1159" spans="1:13" hidden="1" x14ac:dyDescent="0.25">
      <c r="A1159" s="7">
        <v>13</v>
      </c>
      <c r="B1159" s="1" t="s">
        <v>37</v>
      </c>
      <c r="C1159" s="1">
        <v>3.6</v>
      </c>
      <c r="D1159" s="1" t="s">
        <v>38</v>
      </c>
      <c r="E1159" s="1">
        <v>8.6999999999999993</v>
      </c>
      <c r="F1159" s="1">
        <v>0.8</v>
      </c>
      <c r="G1159" s="1">
        <v>2.41</v>
      </c>
      <c r="H1159" s="1">
        <v>1.3</v>
      </c>
      <c r="I1159" s="1" t="s">
        <v>36</v>
      </c>
      <c r="J1159" s="1">
        <v>4</v>
      </c>
      <c r="K1159" s="1">
        <v>6</v>
      </c>
      <c r="L1159" s="1">
        <v>8</v>
      </c>
      <c r="M1159" s="8">
        <v>0</v>
      </c>
    </row>
    <row r="1160" spans="1:13" hidden="1" x14ac:dyDescent="0.25">
      <c r="A1160" s="7">
        <v>16</v>
      </c>
      <c r="B1160" s="1" t="s">
        <v>34</v>
      </c>
      <c r="C1160" s="1">
        <v>5.0999999999999996</v>
      </c>
      <c r="D1160" s="1" t="s">
        <v>38</v>
      </c>
      <c r="E1160" s="1">
        <v>4.5999999999999996</v>
      </c>
      <c r="F1160" s="1">
        <v>1.1000000000000001</v>
      </c>
      <c r="G1160" s="1">
        <v>2.75</v>
      </c>
      <c r="H1160" s="1">
        <v>1.5</v>
      </c>
      <c r="I1160" s="1" t="s">
        <v>40</v>
      </c>
      <c r="J1160" s="1">
        <v>6</v>
      </c>
      <c r="K1160" s="1">
        <v>3</v>
      </c>
      <c r="L1160" s="1">
        <v>6</v>
      </c>
      <c r="M1160" s="8">
        <v>0</v>
      </c>
    </row>
    <row r="1161" spans="1:13" x14ac:dyDescent="0.25">
      <c r="A1161" s="7">
        <v>19</v>
      </c>
      <c r="B1161" s="1" t="s">
        <v>37</v>
      </c>
      <c r="C1161" s="1">
        <v>7.3</v>
      </c>
      <c r="D1161" s="1" t="s">
        <v>35</v>
      </c>
      <c r="E1161" s="1">
        <v>7.8</v>
      </c>
      <c r="F1161" s="1">
        <v>1</v>
      </c>
      <c r="G1161" s="1">
        <v>2.91</v>
      </c>
      <c r="H1161" s="1">
        <v>0.8</v>
      </c>
      <c r="I1161" s="1" t="s">
        <v>40</v>
      </c>
      <c r="J1161" s="1">
        <v>9</v>
      </c>
      <c r="K1161" s="1">
        <v>7</v>
      </c>
      <c r="L1161" s="1">
        <v>5</v>
      </c>
      <c r="M1161" s="8">
        <v>0</v>
      </c>
    </row>
    <row r="1162" spans="1:13" hidden="1" x14ac:dyDescent="0.25">
      <c r="A1162" s="7">
        <v>13</v>
      </c>
      <c r="B1162" s="1" t="s">
        <v>37</v>
      </c>
      <c r="C1162" s="1">
        <v>7.7</v>
      </c>
      <c r="D1162" s="1" t="s">
        <v>41</v>
      </c>
      <c r="E1162" s="1">
        <v>7.5</v>
      </c>
      <c r="F1162" s="1">
        <v>1.4</v>
      </c>
      <c r="G1162" s="1">
        <v>2.2400000000000002</v>
      </c>
      <c r="H1162" s="1">
        <v>0.1</v>
      </c>
      <c r="I1162" s="1" t="s">
        <v>36</v>
      </c>
      <c r="J1162" s="1">
        <v>5</v>
      </c>
      <c r="K1162" s="1">
        <v>3</v>
      </c>
      <c r="L1162" s="1">
        <v>3</v>
      </c>
      <c r="M1162" s="8">
        <v>0</v>
      </c>
    </row>
    <row r="1163" spans="1:13" hidden="1" x14ac:dyDescent="0.25">
      <c r="A1163" s="7">
        <v>13</v>
      </c>
      <c r="B1163" s="1" t="s">
        <v>37</v>
      </c>
      <c r="C1163" s="1">
        <v>7.9</v>
      </c>
      <c r="D1163" s="1" t="s">
        <v>38</v>
      </c>
      <c r="E1163" s="1">
        <v>4.0999999999999996</v>
      </c>
      <c r="F1163" s="1">
        <v>1.6</v>
      </c>
      <c r="G1163" s="1">
        <v>2.74</v>
      </c>
      <c r="H1163" s="1">
        <v>0.9</v>
      </c>
      <c r="I1163" s="1" t="s">
        <v>40</v>
      </c>
      <c r="J1163" s="1">
        <v>9</v>
      </c>
      <c r="K1163" s="1">
        <v>3</v>
      </c>
      <c r="L1163" s="1">
        <v>5</v>
      </c>
      <c r="M1163" s="8">
        <v>0</v>
      </c>
    </row>
    <row r="1164" spans="1:13" hidden="1" x14ac:dyDescent="0.25">
      <c r="A1164" s="7">
        <v>16</v>
      </c>
      <c r="B1164" s="1" t="s">
        <v>37</v>
      </c>
      <c r="C1164" s="1">
        <v>5.5</v>
      </c>
      <c r="D1164" s="1" t="s">
        <v>41</v>
      </c>
      <c r="E1164" s="1">
        <v>5.8</v>
      </c>
      <c r="F1164" s="1">
        <v>2.5</v>
      </c>
      <c r="G1164" s="1">
        <v>2.34</v>
      </c>
      <c r="H1164" s="1">
        <v>1</v>
      </c>
      <c r="I1164" s="1" t="s">
        <v>36</v>
      </c>
      <c r="J1164" s="1">
        <v>5</v>
      </c>
      <c r="K1164" s="1">
        <v>2</v>
      </c>
      <c r="L1164" s="1">
        <v>8</v>
      </c>
      <c r="M1164" s="8">
        <v>0</v>
      </c>
    </row>
    <row r="1165" spans="1:13" hidden="1" x14ac:dyDescent="0.25">
      <c r="A1165" s="7">
        <v>19</v>
      </c>
      <c r="B1165" s="1" t="s">
        <v>34</v>
      </c>
      <c r="C1165" s="1">
        <v>4</v>
      </c>
      <c r="D1165" s="1" t="s">
        <v>35</v>
      </c>
      <c r="E1165" s="1">
        <v>7.8</v>
      </c>
      <c r="F1165" s="1">
        <v>0.6</v>
      </c>
      <c r="G1165" s="1">
        <v>3.61</v>
      </c>
      <c r="H1165" s="1">
        <v>1.7</v>
      </c>
      <c r="I1165" s="1" t="s">
        <v>39</v>
      </c>
      <c r="J1165" s="1">
        <v>2</v>
      </c>
      <c r="K1165" s="1">
        <v>7</v>
      </c>
      <c r="L1165" s="1">
        <v>9</v>
      </c>
      <c r="M1165" s="8">
        <v>0</v>
      </c>
    </row>
    <row r="1166" spans="1:13" hidden="1" x14ac:dyDescent="0.25">
      <c r="A1166" s="7">
        <v>15</v>
      </c>
      <c r="B1166" s="1" t="s">
        <v>37</v>
      </c>
      <c r="C1166" s="1">
        <v>7.9</v>
      </c>
      <c r="D1166" s="1" t="s">
        <v>38</v>
      </c>
      <c r="E1166" s="1">
        <v>4.7</v>
      </c>
      <c r="F1166" s="1">
        <v>1.5</v>
      </c>
      <c r="G1166" s="1">
        <v>3.3</v>
      </c>
      <c r="H1166" s="1">
        <v>0</v>
      </c>
      <c r="I1166" s="1" t="s">
        <v>36</v>
      </c>
      <c r="J1166" s="1">
        <v>5</v>
      </c>
      <c r="K1166" s="1">
        <v>8</v>
      </c>
      <c r="L1166" s="1">
        <v>5</v>
      </c>
      <c r="M1166" s="8">
        <v>0</v>
      </c>
    </row>
    <row r="1167" spans="1:13" hidden="1" x14ac:dyDescent="0.25">
      <c r="A1167" s="7">
        <v>18</v>
      </c>
      <c r="B1167" s="1" t="s">
        <v>37</v>
      </c>
      <c r="C1167" s="1">
        <v>5.5</v>
      </c>
      <c r="D1167" s="1" t="s">
        <v>41</v>
      </c>
      <c r="E1167" s="1">
        <v>8.1999999999999993</v>
      </c>
      <c r="F1167" s="1">
        <v>0.5</v>
      </c>
      <c r="G1167" s="1">
        <v>3.15</v>
      </c>
      <c r="H1167" s="1">
        <v>1.2</v>
      </c>
      <c r="I1167" s="1" t="s">
        <v>40</v>
      </c>
      <c r="J1167" s="1">
        <v>8</v>
      </c>
      <c r="K1167" s="1">
        <v>7</v>
      </c>
      <c r="L1167" s="1">
        <v>7</v>
      </c>
      <c r="M1167" s="8">
        <v>0</v>
      </c>
    </row>
    <row r="1168" spans="1:13" hidden="1" x14ac:dyDescent="0.25">
      <c r="A1168" s="7">
        <v>17</v>
      </c>
      <c r="B1168" s="1" t="s">
        <v>37</v>
      </c>
      <c r="C1168" s="1">
        <v>7.6</v>
      </c>
      <c r="D1168" s="1" t="s">
        <v>41</v>
      </c>
      <c r="E1168" s="1">
        <v>7.1</v>
      </c>
      <c r="F1168" s="1">
        <v>1.1000000000000001</v>
      </c>
      <c r="G1168" s="1">
        <v>2.0699999999999998</v>
      </c>
      <c r="H1168" s="1">
        <v>1.9</v>
      </c>
      <c r="I1168" s="1" t="s">
        <v>39</v>
      </c>
      <c r="J1168" s="1">
        <v>3</v>
      </c>
      <c r="K1168" s="1">
        <v>2</v>
      </c>
      <c r="L1168" s="1">
        <v>6</v>
      </c>
      <c r="M1168" s="8">
        <v>0</v>
      </c>
    </row>
    <row r="1169" spans="1:13" hidden="1" x14ac:dyDescent="0.25">
      <c r="A1169" s="7">
        <v>13</v>
      </c>
      <c r="B1169" s="1" t="s">
        <v>34</v>
      </c>
      <c r="C1169" s="1">
        <v>1.3</v>
      </c>
      <c r="D1169" s="1" t="s">
        <v>38</v>
      </c>
      <c r="E1169" s="1">
        <v>4.4000000000000004</v>
      </c>
      <c r="F1169" s="1">
        <v>0.9</v>
      </c>
      <c r="G1169" s="1">
        <v>2.99</v>
      </c>
      <c r="H1169" s="1">
        <v>0</v>
      </c>
      <c r="I1169" s="1" t="s">
        <v>39</v>
      </c>
      <c r="J1169" s="1">
        <v>8</v>
      </c>
      <c r="K1169" s="1">
        <v>2</v>
      </c>
      <c r="L1169" s="1">
        <v>5</v>
      </c>
      <c r="M1169" s="8">
        <v>0</v>
      </c>
    </row>
    <row r="1170" spans="1:13" hidden="1" x14ac:dyDescent="0.25">
      <c r="A1170" s="7">
        <v>16</v>
      </c>
      <c r="B1170" s="1" t="s">
        <v>34</v>
      </c>
      <c r="C1170" s="1">
        <v>7.3</v>
      </c>
      <c r="D1170" s="1" t="s">
        <v>38</v>
      </c>
      <c r="E1170" s="1">
        <v>7</v>
      </c>
      <c r="F1170" s="1">
        <v>2.2000000000000002</v>
      </c>
      <c r="G1170" s="1">
        <v>2.0699999999999998</v>
      </c>
      <c r="H1170" s="1">
        <v>1</v>
      </c>
      <c r="I1170" s="1" t="s">
        <v>40</v>
      </c>
      <c r="J1170" s="1">
        <v>3</v>
      </c>
      <c r="K1170" s="1">
        <v>7</v>
      </c>
      <c r="L1170" s="1">
        <v>1</v>
      </c>
      <c r="M1170" s="8">
        <v>0</v>
      </c>
    </row>
    <row r="1171" spans="1:13" hidden="1" x14ac:dyDescent="0.25">
      <c r="A1171" s="7">
        <v>18</v>
      </c>
      <c r="B1171" s="1" t="s">
        <v>34</v>
      </c>
      <c r="C1171" s="1">
        <v>4.3</v>
      </c>
      <c r="D1171" s="1" t="s">
        <v>35</v>
      </c>
      <c r="E1171" s="1">
        <v>6.7</v>
      </c>
      <c r="F1171" s="1">
        <v>2.5</v>
      </c>
      <c r="G1171" s="1">
        <v>3.19</v>
      </c>
      <c r="H1171" s="1">
        <v>1</v>
      </c>
      <c r="I1171" s="1" t="s">
        <v>39</v>
      </c>
      <c r="J1171" s="1">
        <v>5</v>
      </c>
      <c r="K1171" s="1">
        <v>5</v>
      </c>
      <c r="L1171" s="1">
        <v>5</v>
      </c>
      <c r="M1171" s="8">
        <v>0</v>
      </c>
    </row>
    <row r="1172" spans="1:13" hidden="1" x14ac:dyDescent="0.25">
      <c r="A1172" s="7">
        <v>16</v>
      </c>
      <c r="B1172" s="1" t="s">
        <v>34</v>
      </c>
      <c r="C1172" s="1">
        <v>7.1</v>
      </c>
      <c r="D1172" s="1" t="s">
        <v>38</v>
      </c>
      <c r="E1172" s="1">
        <v>7.7</v>
      </c>
      <c r="F1172" s="1">
        <v>1.9</v>
      </c>
      <c r="G1172" s="1">
        <v>2.2400000000000002</v>
      </c>
      <c r="H1172" s="1">
        <v>0.6</v>
      </c>
      <c r="I1172" s="1" t="s">
        <v>39</v>
      </c>
      <c r="J1172" s="1">
        <v>8</v>
      </c>
      <c r="K1172" s="1">
        <v>10</v>
      </c>
      <c r="L1172" s="1">
        <v>5</v>
      </c>
      <c r="M1172" s="8">
        <v>0</v>
      </c>
    </row>
    <row r="1173" spans="1:13" hidden="1" x14ac:dyDescent="0.25">
      <c r="A1173" s="7">
        <v>14</v>
      </c>
      <c r="B1173" s="1" t="s">
        <v>37</v>
      </c>
      <c r="C1173" s="1">
        <v>5.7</v>
      </c>
      <c r="D1173" s="1" t="s">
        <v>38</v>
      </c>
      <c r="E1173" s="1">
        <v>6.4</v>
      </c>
      <c r="F1173" s="1">
        <v>1.9</v>
      </c>
      <c r="G1173" s="1">
        <v>3.3</v>
      </c>
      <c r="H1173" s="1">
        <v>1.3</v>
      </c>
      <c r="I1173" s="1" t="s">
        <v>39</v>
      </c>
      <c r="J1173" s="1">
        <v>6</v>
      </c>
      <c r="K1173" s="1">
        <v>8</v>
      </c>
      <c r="L1173" s="1">
        <v>5</v>
      </c>
      <c r="M1173" s="8">
        <v>0</v>
      </c>
    </row>
    <row r="1174" spans="1:13" hidden="1" x14ac:dyDescent="0.25">
      <c r="A1174" s="7">
        <v>18</v>
      </c>
      <c r="B1174" s="1" t="s">
        <v>37</v>
      </c>
      <c r="C1174" s="1">
        <v>5.2</v>
      </c>
      <c r="D1174" s="1" t="s">
        <v>41</v>
      </c>
      <c r="E1174" s="1">
        <v>7.3</v>
      </c>
      <c r="F1174" s="1">
        <v>1.7</v>
      </c>
      <c r="G1174" s="1">
        <v>3.33</v>
      </c>
      <c r="H1174" s="1">
        <v>0.9</v>
      </c>
      <c r="I1174" s="1" t="s">
        <v>36</v>
      </c>
      <c r="J1174" s="1">
        <v>7</v>
      </c>
      <c r="K1174" s="1">
        <v>4</v>
      </c>
      <c r="L1174" s="1">
        <v>9</v>
      </c>
      <c r="M1174" s="8">
        <v>0</v>
      </c>
    </row>
    <row r="1175" spans="1:13" hidden="1" x14ac:dyDescent="0.25">
      <c r="A1175" s="7">
        <v>17</v>
      </c>
      <c r="B1175" s="1" t="s">
        <v>34</v>
      </c>
      <c r="C1175" s="1">
        <v>3.1</v>
      </c>
      <c r="D1175" s="1" t="s">
        <v>38</v>
      </c>
      <c r="E1175" s="1">
        <v>7.7</v>
      </c>
      <c r="F1175" s="1">
        <v>2.2000000000000002</v>
      </c>
      <c r="G1175" s="1">
        <v>3.72</v>
      </c>
      <c r="H1175" s="1">
        <v>1.4</v>
      </c>
      <c r="I1175" s="1" t="s">
        <v>40</v>
      </c>
      <c r="J1175" s="1">
        <v>1</v>
      </c>
      <c r="K1175" s="1">
        <v>5</v>
      </c>
      <c r="L1175" s="1">
        <v>8</v>
      </c>
      <c r="M1175" s="8">
        <v>0</v>
      </c>
    </row>
    <row r="1176" spans="1:13" hidden="1" x14ac:dyDescent="0.25">
      <c r="A1176" s="7">
        <v>13</v>
      </c>
      <c r="B1176" s="1" t="s">
        <v>34</v>
      </c>
      <c r="C1176" s="1">
        <v>3</v>
      </c>
      <c r="D1176" s="1" t="s">
        <v>41</v>
      </c>
      <c r="E1176" s="1">
        <v>6.2</v>
      </c>
      <c r="F1176" s="1">
        <v>0.8</v>
      </c>
      <c r="G1176" s="1">
        <v>3.96</v>
      </c>
      <c r="H1176" s="1">
        <v>1.1000000000000001</v>
      </c>
      <c r="I1176" s="1" t="s">
        <v>36</v>
      </c>
      <c r="J1176" s="1">
        <v>9</v>
      </c>
      <c r="K1176" s="1">
        <v>10</v>
      </c>
      <c r="L1176" s="1">
        <v>3</v>
      </c>
      <c r="M1176" s="8">
        <v>0</v>
      </c>
    </row>
    <row r="1177" spans="1:13" hidden="1" x14ac:dyDescent="0.25">
      <c r="A1177" s="7">
        <v>17</v>
      </c>
      <c r="B1177" s="1" t="s">
        <v>37</v>
      </c>
      <c r="C1177" s="1">
        <v>6</v>
      </c>
      <c r="D1177" s="1" t="s">
        <v>41</v>
      </c>
      <c r="E1177" s="1">
        <v>4.2</v>
      </c>
      <c r="F1177" s="1">
        <v>2.2000000000000002</v>
      </c>
      <c r="G1177" s="1">
        <v>2.27</v>
      </c>
      <c r="H1177" s="1">
        <v>0.5</v>
      </c>
      <c r="I1177" s="1" t="s">
        <v>40</v>
      </c>
      <c r="J1177" s="1">
        <v>1</v>
      </c>
      <c r="K1177" s="1">
        <v>4</v>
      </c>
      <c r="L1177" s="1">
        <v>5</v>
      </c>
      <c r="M1177" s="8">
        <v>0</v>
      </c>
    </row>
    <row r="1178" spans="1:13" hidden="1" x14ac:dyDescent="0.25">
      <c r="A1178" s="7">
        <v>13</v>
      </c>
      <c r="B1178" s="1" t="s">
        <v>34</v>
      </c>
      <c r="C1178" s="1">
        <v>5.9</v>
      </c>
      <c r="D1178" s="1" t="s">
        <v>35</v>
      </c>
      <c r="E1178" s="1">
        <v>8.6</v>
      </c>
      <c r="F1178" s="1">
        <v>1.9</v>
      </c>
      <c r="G1178" s="1">
        <v>3.88</v>
      </c>
      <c r="H1178" s="1">
        <v>0.2</v>
      </c>
      <c r="I1178" s="1" t="s">
        <v>40</v>
      </c>
      <c r="J1178" s="1">
        <v>1</v>
      </c>
      <c r="K1178" s="1">
        <v>6</v>
      </c>
      <c r="L1178" s="1">
        <v>9</v>
      </c>
      <c r="M1178" s="8">
        <v>0</v>
      </c>
    </row>
    <row r="1179" spans="1:13" hidden="1" x14ac:dyDescent="0.25">
      <c r="A1179" s="7">
        <v>15</v>
      </c>
      <c r="B1179" s="1" t="s">
        <v>34</v>
      </c>
      <c r="C1179" s="1">
        <v>5.0999999999999996</v>
      </c>
      <c r="D1179" s="1" t="s">
        <v>38</v>
      </c>
      <c r="E1179" s="1">
        <v>5.5</v>
      </c>
      <c r="F1179" s="1">
        <v>0.7</v>
      </c>
      <c r="G1179" s="1">
        <v>2.13</v>
      </c>
      <c r="H1179" s="1">
        <v>0.5</v>
      </c>
      <c r="I1179" s="1" t="s">
        <v>40</v>
      </c>
      <c r="J1179" s="1">
        <v>6</v>
      </c>
      <c r="K1179" s="1">
        <v>10</v>
      </c>
      <c r="L1179" s="1">
        <v>8</v>
      </c>
      <c r="M1179" s="8">
        <v>0</v>
      </c>
    </row>
    <row r="1180" spans="1:13" x14ac:dyDescent="0.25">
      <c r="A1180" s="7">
        <v>19</v>
      </c>
      <c r="B1180" s="1" t="s">
        <v>37</v>
      </c>
      <c r="C1180" s="1">
        <v>3.5</v>
      </c>
      <c r="D1180" s="1" t="s">
        <v>35</v>
      </c>
      <c r="E1180" s="1">
        <v>4.9000000000000004</v>
      </c>
      <c r="F1180" s="1">
        <v>0.5</v>
      </c>
      <c r="G1180" s="1">
        <v>3.68</v>
      </c>
      <c r="H1180" s="1">
        <v>1.7</v>
      </c>
      <c r="I1180" s="1" t="s">
        <v>39</v>
      </c>
      <c r="J1180" s="1">
        <v>8</v>
      </c>
      <c r="K1180" s="1">
        <v>4</v>
      </c>
      <c r="L1180" s="1">
        <v>3</v>
      </c>
      <c r="M1180" s="8">
        <v>0</v>
      </c>
    </row>
    <row r="1181" spans="1:13" hidden="1" x14ac:dyDescent="0.25">
      <c r="A1181" s="7">
        <v>16</v>
      </c>
      <c r="B1181" s="1" t="s">
        <v>34</v>
      </c>
      <c r="C1181" s="1">
        <v>5.3</v>
      </c>
      <c r="D1181" s="1" t="s">
        <v>38</v>
      </c>
      <c r="E1181" s="1">
        <v>5.3</v>
      </c>
      <c r="F1181" s="1">
        <v>2.4</v>
      </c>
      <c r="G1181" s="1">
        <v>3.01</v>
      </c>
      <c r="H1181" s="1">
        <v>1.6</v>
      </c>
      <c r="I1181" s="1" t="s">
        <v>40</v>
      </c>
      <c r="J1181" s="1">
        <v>2</v>
      </c>
      <c r="K1181" s="1">
        <v>9</v>
      </c>
      <c r="L1181" s="1">
        <v>1</v>
      </c>
      <c r="M1181" s="8">
        <v>0</v>
      </c>
    </row>
    <row r="1182" spans="1:13" x14ac:dyDescent="0.25">
      <c r="A1182" s="7">
        <v>13</v>
      </c>
      <c r="B1182" s="1" t="s">
        <v>37</v>
      </c>
      <c r="C1182" s="1">
        <v>4.0999999999999996</v>
      </c>
      <c r="D1182" s="1" t="s">
        <v>35</v>
      </c>
      <c r="E1182" s="1">
        <v>7.5</v>
      </c>
      <c r="F1182" s="1">
        <v>1.7</v>
      </c>
      <c r="G1182" s="1">
        <v>3.12</v>
      </c>
      <c r="H1182" s="1">
        <v>2</v>
      </c>
      <c r="I1182" s="1" t="s">
        <v>40</v>
      </c>
      <c r="J1182" s="1">
        <v>1</v>
      </c>
      <c r="K1182" s="1">
        <v>4</v>
      </c>
      <c r="L1182" s="1">
        <v>9</v>
      </c>
      <c r="M1182" s="8">
        <v>0</v>
      </c>
    </row>
    <row r="1183" spans="1:13" hidden="1" x14ac:dyDescent="0.25">
      <c r="A1183" s="7">
        <v>18</v>
      </c>
      <c r="B1183" s="1" t="s">
        <v>34</v>
      </c>
      <c r="C1183" s="1">
        <v>4.0999999999999996</v>
      </c>
      <c r="D1183" s="1" t="s">
        <v>35</v>
      </c>
      <c r="E1183" s="1">
        <v>6.7</v>
      </c>
      <c r="F1183" s="1">
        <v>2.1</v>
      </c>
      <c r="G1183" s="1">
        <v>2.5</v>
      </c>
      <c r="H1183" s="1">
        <v>0.1</v>
      </c>
      <c r="I1183" s="1" t="s">
        <v>40</v>
      </c>
      <c r="J1183" s="1">
        <v>8</v>
      </c>
      <c r="K1183" s="1">
        <v>1</v>
      </c>
      <c r="L1183" s="1">
        <v>5</v>
      </c>
      <c r="M1183" s="8">
        <v>0</v>
      </c>
    </row>
    <row r="1184" spans="1:13" hidden="1" x14ac:dyDescent="0.25">
      <c r="A1184" s="7">
        <v>15</v>
      </c>
      <c r="B1184" s="1" t="s">
        <v>34</v>
      </c>
      <c r="C1184" s="1">
        <v>6.3</v>
      </c>
      <c r="D1184" s="1" t="s">
        <v>38</v>
      </c>
      <c r="E1184" s="1">
        <v>6.8</v>
      </c>
      <c r="F1184" s="1">
        <v>1.8</v>
      </c>
      <c r="G1184" s="1">
        <v>2.59</v>
      </c>
      <c r="H1184" s="1">
        <v>1.9</v>
      </c>
      <c r="I1184" s="1" t="s">
        <v>39</v>
      </c>
      <c r="J1184" s="1">
        <v>10</v>
      </c>
      <c r="K1184" s="1">
        <v>5</v>
      </c>
      <c r="L1184" s="1">
        <v>5</v>
      </c>
      <c r="M1184" s="8">
        <v>0</v>
      </c>
    </row>
    <row r="1185" spans="1:13" hidden="1" x14ac:dyDescent="0.25">
      <c r="A1185" s="7">
        <v>19</v>
      </c>
      <c r="B1185" s="1" t="s">
        <v>37</v>
      </c>
      <c r="C1185" s="1">
        <v>6.6</v>
      </c>
      <c r="D1185" s="1" t="s">
        <v>41</v>
      </c>
      <c r="E1185" s="1">
        <v>9</v>
      </c>
      <c r="F1185" s="1">
        <v>2.9</v>
      </c>
      <c r="G1185" s="1">
        <v>2.4700000000000002</v>
      </c>
      <c r="H1185" s="1">
        <v>1.7</v>
      </c>
      <c r="I1185" s="1" t="s">
        <v>40</v>
      </c>
      <c r="J1185" s="1">
        <v>3</v>
      </c>
      <c r="K1185" s="1">
        <v>7</v>
      </c>
      <c r="L1185" s="1">
        <v>9</v>
      </c>
      <c r="M1185" s="8">
        <v>0</v>
      </c>
    </row>
    <row r="1186" spans="1:13" hidden="1" x14ac:dyDescent="0.25">
      <c r="A1186" s="7">
        <v>19</v>
      </c>
      <c r="B1186" s="1" t="s">
        <v>34</v>
      </c>
      <c r="C1186" s="1">
        <v>1.4</v>
      </c>
      <c r="D1186" s="1" t="s">
        <v>41</v>
      </c>
      <c r="E1186" s="1">
        <v>4.5</v>
      </c>
      <c r="F1186" s="1">
        <v>2.2999999999999998</v>
      </c>
      <c r="G1186" s="1">
        <v>3.9</v>
      </c>
      <c r="H1186" s="1">
        <v>0</v>
      </c>
      <c r="I1186" s="1" t="s">
        <v>40</v>
      </c>
      <c r="J1186" s="1">
        <v>2</v>
      </c>
      <c r="K1186" s="1">
        <v>8</v>
      </c>
      <c r="L1186" s="1">
        <v>10</v>
      </c>
      <c r="M1186" s="8">
        <v>0</v>
      </c>
    </row>
    <row r="1187" spans="1:13" hidden="1" x14ac:dyDescent="0.25">
      <c r="A1187" s="7">
        <v>19</v>
      </c>
      <c r="B1187" s="1" t="s">
        <v>34</v>
      </c>
      <c r="C1187" s="1">
        <v>2.4</v>
      </c>
      <c r="D1187" s="1" t="s">
        <v>38</v>
      </c>
      <c r="E1187" s="1">
        <v>9</v>
      </c>
      <c r="F1187" s="1">
        <v>2.4</v>
      </c>
      <c r="G1187" s="1">
        <v>3.13</v>
      </c>
      <c r="H1187" s="1">
        <v>0.5</v>
      </c>
      <c r="I1187" s="1" t="s">
        <v>39</v>
      </c>
      <c r="J1187" s="1">
        <v>5</v>
      </c>
      <c r="K1187" s="1">
        <v>3</v>
      </c>
      <c r="L1187" s="1">
        <v>3</v>
      </c>
      <c r="M1187" s="8">
        <v>0</v>
      </c>
    </row>
    <row r="1188" spans="1:13" hidden="1" x14ac:dyDescent="0.25">
      <c r="A1188" s="7">
        <v>18</v>
      </c>
      <c r="B1188" s="1" t="s">
        <v>34</v>
      </c>
      <c r="C1188" s="1">
        <v>1.6</v>
      </c>
      <c r="D1188" s="1" t="s">
        <v>41</v>
      </c>
      <c r="E1188" s="1">
        <v>5.4</v>
      </c>
      <c r="F1188" s="1">
        <v>2</v>
      </c>
      <c r="G1188" s="1">
        <v>3.2</v>
      </c>
      <c r="H1188" s="1">
        <v>1.8</v>
      </c>
      <c r="I1188" s="1" t="s">
        <v>36</v>
      </c>
      <c r="J1188" s="1">
        <v>8</v>
      </c>
      <c r="K1188" s="1">
        <v>8</v>
      </c>
      <c r="L1188" s="1">
        <v>3</v>
      </c>
      <c r="M1188" s="8">
        <v>0</v>
      </c>
    </row>
    <row r="1189" spans="1:13" hidden="1" x14ac:dyDescent="0.25">
      <c r="A1189" s="7">
        <v>18</v>
      </c>
      <c r="B1189" s="1" t="s">
        <v>34</v>
      </c>
      <c r="C1189" s="1">
        <v>2</v>
      </c>
      <c r="D1189" s="1" t="s">
        <v>35</v>
      </c>
      <c r="E1189" s="1">
        <v>8.9</v>
      </c>
      <c r="F1189" s="1">
        <v>0.8</v>
      </c>
      <c r="G1189" s="1">
        <v>2.96</v>
      </c>
      <c r="H1189" s="1">
        <v>0.5</v>
      </c>
      <c r="I1189" s="1" t="s">
        <v>40</v>
      </c>
      <c r="J1189" s="1">
        <v>6</v>
      </c>
      <c r="K1189" s="1">
        <v>2</v>
      </c>
      <c r="L1189" s="1">
        <v>2</v>
      </c>
      <c r="M1189" s="8">
        <v>0</v>
      </c>
    </row>
    <row r="1190" spans="1:13" x14ac:dyDescent="0.25">
      <c r="A1190" s="7">
        <v>17</v>
      </c>
      <c r="B1190" s="1" t="s">
        <v>37</v>
      </c>
      <c r="C1190" s="1">
        <v>7.4</v>
      </c>
      <c r="D1190" s="1" t="s">
        <v>35</v>
      </c>
      <c r="E1190" s="1">
        <v>7.4</v>
      </c>
      <c r="F1190" s="1">
        <v>2</v>
      </c>
      <c r="G1190" s="1">
        <v>3.76</v>
      </c>
      <c r="H1190" s="1">
        <v>1.7</v>
      </c>
      <c r="I1190" s="1" t="s">
        <v>39</v>
      </c>
      <c r="J1190" s="1">
        <v>10</v>
      </c>
      <c r="K1190" s="1">
        <v>1</v>
      </c>
      <c r="L1190" s="1">
        <v>4</v>
      </c>
      <c r="M1190" s="8">
        <v>0</v>
      </c>
    </row>
    <row r="1191" spans="1:13" hidden="1" x14ac:dyDescent="0.25">
      <c r="A1191" s="7">
        <v>14</v>
      </c>
      <c r="B1191" s="1" t="s">
        <v>37</v>
      </c>
      <c r="C1191" s="1">
        <v>1.6</v>
      </c>
      <c r="D1191" s="1" t="s">
        <v>38</v>
      </c>
      <c r="E1191" s="1">
        <v>4.8</v>
      </c>
      <c r="F1191" s="1">
        <v>2.4</v>
      </c>
      <c r="G1191" s="1">
        <v>2.97</v>
      </c>
      <c r="H1191" s="1">
        <v>1.9</v>
      </c>
      <c r="I1191" s="1" t="s">
        <v>36</v>
      </c>
      <c r="J1191" s="1">
        <v>9</v>
      </c>
      <c r="K1191" s="1">
        <v>9</v>
      </c>
      <c r="L1191" s="1">
        <v>10</v>
      </c>
      <c r="M1191" s="8">
        <v>0</v>
      </c>
    </row>
    <row r="1192" spans="1:13" x14ac:dyDescent="0.25">
      <c r="A1192" s="7">
        <v>17</v>
      </c>
      <c r="B1192" s="1" t="s">
        <v>37</v>
      </c>
      <c r="C1192" s="1">
        <v>3.8</v>
      </c>
      <c r="D1192" s="1" t="s">
        <v>35</v>
      </c>
      <c r="E1192" s="1">
        <v>8.4</v>
      </c>
      <c r="F1192" s="1">
        <v>0.9</v>
      </c>
      <c r="G1192" s="1">
        <v>3.6</v>
      </c>
      <c r="H1192" s="1">
        <v>1.9</v>
      </c>
      <c r="I1192" s="1" t="s">
        <v>39</v>
      </c>
      <c r="J1192" s="1">
        <v>1</v>
      </c>
      <c r="K1192" s="1">
        <v>2</v>
      </c>
      <c r="L1192" s="1">
        <v>2</v>
      </c>
      <c r="M1192" s="8">
        <v>0</v>
      </c>
    </row>
    <row r="1193" spans="1:13" hidden="1" x14ac:dyDescent="0.25">
      <c r="A1193" s="7">
        <v>19</v>
      </c>
      <c r="B1193" s="1" t="s">
        <v>34</v>
      </c>
      <c r="C1193" s="1">
        <v>8</v>
      </c>
      <c r="D1193" s="1" t="s">
        <v>38</v>
      </c>
      <c r="E1193" s="1">
        <v>4.7</v>
      </c>
      <c r="F1193" s="1">
        <v>0.5</v>
      </c>
      <c r="G1193" s="1">
        <v>2.1800000000000002</v>
      </c>
      <c r="H1193" s="1">
        <v>0.6</v>
      </c>
      <c r="I1193" s="1" t="s">
        <v>40</v>
      </c>
      <c r="J1193" s="1">
        <v>8</v>
      </c>
      <c r="K1193" s="1">
        <v>8</v>
      </c>
      <c r="L1193" s="1">
        <v>6</v>
      </c>
      <c r="M1193" s="8">
        <v>1</v>
      </c>
    </row>
    <row r="1194" spans="1:13" hidden="1" x14ac:dyDescent="0.25">
      <c r="A1194" s="7">
        <v>13</v>
      </c>
      <c r="B1194" s="1" t="s">
        <v>34</v>
      </c>
      <c r="C1194" s="1">
        <v>7.8</v>
      </c>
      <c r="D1194" s="1" t="s">
        <v>38</v>
      </c>
      <c r="E1194" s="1">
        <v>5.9</v>
      </c>
      <c r="F1194" s="1">
        <v>1.5</v>
      </c>
      <c r="G1194" s="1">
        <v>3.31</v>
      </c>
      <c r="H1194" s="1">
        <v>1.9</v>
      </c>
      <c r="I1194" s="1" t="s">
        <v>39</v>
      </c>
      <c r="J1194" s="1">
        <v>10</v>
      </c>
      <c r="K1194" s="1">
        <v>1</v>
      </c>
      <c r="L1194" s="1">
        <v>10</v>
      </c>
      <c r="M1194" s="8">
        <v>0</v>
      </c>
    </row>
    <row r="1195" spans="1:13" x14ac:dyDescent="0.25">
      <c r="A1195" s="7">
        <v>13</v>
      </c>
      <c r="B1195" s="1" t="s">
        <v>37</v>
      </c>
      <c r="C1195" s="1">
        <v>7.2</v>
      </c>
      <c r="D1195" s="1" t="s">
        <v>35</v>
      </c>
      <c r="E1195" s="1">
        <v>8.1</v>
      </c>
      <c r="F1195" s="1">
        <v>2.1</v>
      </c>
      <c r="G1195" s="1">
        <v>2.52</v>
      </c>
      <c r="H1195" s="1">
        <v>0.4</v>
      </c>
      <c r="I1195" s="1" t="s">
        <v>40</v>
      </c>
      <c r="J1195" s="1">
        <v>3</v>
      </c>
      <c r="K1195" s="1">
        <v>3</v>
      </c>
      <c r="L1195" s="1">
        <v>7</v>
      </c>
      <c r="M1195" s="8">
        <v>0</v>
      </c>
    </row>
    <row r="1196" spans="1:13" hidden="1" x14ac:dyDescent="0.25">
      <c r="A1196" s="7">
        <v>17</v>
      </c>
      <c r="B1196" s="1" t="s">
        <v>34</v>
      </c>
      <c r="C1196" s="1">
        <v>2</v>
      </c>
      <c r="D1196" s="1" t="s">
        <v>41</v>
      </c>
      <c r="E1196" s="1">
        <v>4.5</v>
      </c>
      <c r="F1196" s="1">
        <v>1.7</v>
      </c>
      <c r="G1196" s="1">
        <v>2.65</v>
      </c>
      <c r="H1196" s="1">
        <v>0</v>
      </c>
      <c r="I1196" s="1" t="s">
        <v>40</v>
      </c>
      <c r="J1196" s="1">
        <v>9</v>
      </c>
      <c r="K1196" s="1">
        <v>4</v>
      </c>
      <c r="L1196" s="1">
        <v>2</v>
      </c>
      <c r="M1196" s="8">
        <v>0</v>
      </c>
    </row>
    <row r="1197" spans="1:13" x14ac:dyDescent="0.25">
      <c r="A1197" s="7">
        <v>18</v>
      </c>
      <c r="B1197" s="1" t="s">
        <v>37</v>
      </c>
      <c r="C1197" s="1">
        <v>6.8</v>
      </c>
      <c r="D1197" s="1" t="s">
        <v>35</v>
      </c>
      <c r="E1197" s="1">
        <v>6.6</v>
      </c>
      <c r="F1197" s="1">
        <v>2</v>
      </c>
      <c r="G1197" s="1">
        <v>2.76</v>
      </c>
      <c r="H1197" s="1">
        <v>1</v>
      </c>
      <c r="I1197" s="1" t="s">
        <v>36</v>
      </c>
      <c r="J1197" s="1">
        <v>3</v>
      </c>
      <c r="K1197" s="1">
        <v>4</v>
      </c>
      <c r="L1197" s="1">
        <v>4</v>
      </c>
      <c r="M1197" s="8">
        <v>0</v>
      </c>
    </row>
    <row r="1198" spans="1:13" hidden="1" x14ac:dyDescent="0.25">
      <c r="A1198" s="7">
        <v>16</v>
      </c>
      <c r="B1198" s="1" t="s">
        <v>34</v>
      </c>
      <c r="C1198" s="1">
        <v>2.2999999999999998</v>
      </c>
      <c r="D1198" s="1" t="s">
        <v>41</v>
      </c>
      <c r="E1198" s="1">
        <v>8</v>
      </c>
      <c r="F1198" s="1">
        <v>1.9</v>
      </c>
      <c r="G1198" s="1">
        <v>2.12</v>
      </c>
      <c r="H1198" s="1">
        <v>0.4</v>
      </c>
      <c r="I1198" s="1" t="s">
        <v>39</v>
      </c>
      <c r="J1198" s="1">
        <v>7</v>
      </c>
      <c r="K1198" s="1">
        <v>4</v>
      </c>
      <c r="L1198" s="1">
        <v>4</v>
      </c>
      <c r="M1198" s="8">
        <v>0</v>
      </c>
    </row>
    <row r="1199" spans="1:13" hidden="1" x14ac:dyDescent="0.25">
      <c r="A1199" s="7">
        <v>14</v>
      </c>
      <c r="B1199" s="1" t="s">
        <v>37</v>
      </c>
      <c r="C1199" s="1">
        <v>1.7</v>
      </c>
      <c r="D1199" s="1" t="s">
        <v>41</v>
      </c>
      <c r="E1199" s="1">
        <v>8.6999999999999993</v>
      </c>
      <c r="F1199" s="1">
        <v>0.7</v>
      </c>
      <c r="G1199" s="1">
        <v>3.98</v>
      </c>
      <c r="H1199" s="1">
        <v>0.8</v>
      </c>
      <c r="I1199" s="1" t="s">
        <v>39</v>
      </c>
      <c r="J1199" s="1">
        <v>1</v>
      </c>
      <c r="K1199" s="1">
        <v>1</v>
      </c>
      <c r="L1199" s="1">
        <v>1</v>
      </c>
      <c r="M1199" s="8">
        <v>0</v>
      </c>
    </row>
    <row r="1200" spans="1:13" hidden="1" x14ac:dyDescent="0.25">
      <c r="A1200" s="7">
        <v>15</v>
      </c>
      <c r="B1200" s="1" t="s">
        <v>34</v>
      </c>
      <c r="C1200" s="1">
        <v>3.9</v>
      </c>
      <c r="D1200" s="1" t="s">
        <v>41</v>
      </c>
      <c r="E1200" s="1">
        <v>8.5</v>
      </c>
      <c r="F1200" s="1">
        <v>2.1</v>
      </c>
      <c r="G1200" s="1">
        <v>3.19</v>
      </c>
      <c r="H1200" s="1">
        <v>0.6</v>
      </c>
      <c r="I1200" s="1" t="s">
        <v>39</v>
      </c>
      <c r="J1200" s="1">
        <v>7</v>
      </c>
      <c r="K1200" s="1">
        <v>9</v>
      </c>
      <c r="L1200" s="1">
        <v>9</v>
      </c>
      <c r="M1200" s="8">
        <v>0</v>
      </c>
    </row>
    <row r="1201" spans="1:13" hidden="1" x14ac:dyDescent="0.25">
      <c r="A1201" s="12">
        <v>16</v>
      </c>
      <c r="B1201" s="13" t="s">
        <v>37</v>
      </c>
      <c r="C1201" s="13">
        <v>4.7</v>
      </c>
      <c r="D1201" s="13" t="s">
        <v>38</v>
      </c>
      <c r="E1201" s="13">
        <v>6.5</v>
      </c>
      <c r="F1201" s="13">
        <v>1</v>
      </c>
      <c r="G1201" s="13">
        <v>2.91</v>
      </c>
      <c r="H1201" s="13">
        <v>0.9</v>
      </c>
      <c r="I1201" s="13" t="s">
        <v>40</v>
      </c>
      <c r="J1201" s="13">
        <v>5</v>
      </c>
      <c r="K1201" s="13">
        <v>7</v>
      </c>
      <c r="L1201" s="13">
        <v>3</v>
      </c>
      <c r="M1201" s="14">
        <v>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3B405-01A7-48D1-ACF8-9F4E2ECFEC49}">
  <dimension ref="A1:J20"/>
  <sheetViews>
    <sheetView workbookViewId="0">
      <selection activeCell="E17" sqref="E17"/>
    </sheetView>
  </sheetViews>
  <sheetFormatPr defaultRowHeight="15" x14ac:dyDescent="0.25"/>
  <cols>
    <col min="2" max="2" width="37.140625" bestFit="1" customWidth="1"/>
    <col min="3" max="3" width="50.7109375" bestFit="1" customWidth="1"/>
  </cols>
  <sheetData>
    <row r="1" spans="1:10" s="16" customFormat="1" x14ac:dyDescent="0.25">
      <c r="A1" s="16">
        <v>1</v>
      </c>
      <c r="B1" s="16" t="s">
        <v>0</v>
      </c>
      <c r="E1" s="16">
        <f>COUNT('Working sheet'!A2:A1201)</f>
        <v>1200</v>
      </c>
    </row>
    <row r="2" spans="1:10" s="16" customFormat="1" x14ac:dyDescent="0.25">
      <c r="A2" s="16">
        <v>2</v>
      </c>
      <c r="B2" s="16" t="s">
        <v>1</v>
      </c>
      <c r="E2" s="16">
        <f>COUNTIF(Teen_Mental_Health_Dataset!M2:M1201,1)</f>
        <v>31</v>
      </c>
    </row>
    <row r="3" spans="1:10" s="16" customFormat="1" x14ac:dyDescent="0.25">
      <c r="A3" s="16">
        <v>3</v>
      </c>
      <c r="B3" s="16" t="s">
        <v>2</v>
      </c>
      <c r="E3" s="16">
        <f>AVERAGE('Working sheet'!C2:C1201)</f>
        <v>4.5366666666666724</v>
      </c>
    </row>
    <row r="4" spans="1:10" s="16" customFormat="1" x14ac:dyDescent="0.25">
      <c r="A4" s="16">
        <v>4</v>
      </c>
      <c r="B4" s="16" t="s">
        <v>3</v>
      </c>
      <c r="E4" s="16">
        <f>AVERAGE('Working sheet'!E2:E1201)</f>
        <v>6.4494166666666679</v>
      </c>
    </row>
    <row r="5" spans="1:10" s="16" customFormat="1" x14ac:dyDescent="0.25">
      <c r="A5" s="16">
        <v>5</v>
      </c>
      <c r="B5" s="16" t="s">
        <v>4</v>
      </c>
      <c r="E5" s="16">
        <f>AVERAGE('Working sheet'!J2:J1201)</f>
        <v>5.4458333333333337</v>
      </c>
    </row>
    <row r="6" spans="1:10" s="16" customFormat="1" x14ac:dyDescent="0.25">
      <c r="A6" s="16">
        <v>6</v>
      </c>
      <c r="B6" s="16" t="s">
        <v>5</v>
      </c>
      <c r="E6" s="16">
        <f>AVERAGE('Working sheet'!K2:K1201)</f>
        <v>5.6366666666666667</v>
      </c>
    </row>
    <row r="7" spans="1:10" x14ac:dyDescent="0.25">
      <c r="A7">
        <v>7</v>
      </c>
      <c r="B7" t="s">
        <v>6</v>
      </c>
      <c r="E7">
        <f>COUNTIF('Working sheet'!B2:B1201,"female")</f>
        <v>585</v>
      </c>
      <c r="F7" t="s">
        <v>37</v>
      </c>
      <c r="G7">
        <f>COUNTIF('Working sheet'!B2:B1201,"male")</f>
        <v>615</v>
      </c>
      <c r="H7" t="s">
        <v>34</v>
      </c>
    </row>
    <row r="8" spans="1:10" x14ac:dyDescent="0.25">
      <c r="A8">
        <v>8</v>
      </c>
      <c r="B8" t="s">
        <v>7</v>
      </c>
      <c r="E8">
        <f>COUNTIF('Working sheet'!D2:D1201,"Instagram")</f>
        <v>411</v>
      </c>
      <c r="F8">
        <f>COUNTIF('Working sheet'!D2:D1201,"Tiktok")</f>
        <v>398</v>
      </c>
      <c r="G8" t="s">
        <v>42</v>
      </c>
      <c r="H8">
        <f>COUNTIF('Working sheet'!D2:D1201,"Both")</f>
        <v>391</v>
      </c>
      <c r="I8" t="s">
        <v>41</v>
      </c>
    </row>
    <row r="9" spans="1:10" x14ac:dyDescent="0.25">
      <c r="A9">
        <v>9</v>
      </c>
      <c r="B9" t="s">
        <v>8</v>
      </c>
      <c r="C9" t="s">
        <v>9</v>
      </c>
      <c r="E9">
        <f>AVERAGEIFS('Working sheet'!C2:C1201,'Working sheet'!M2:M1201,0)</f>
        <v>4.4787852865697237</v>
      </c>
      <c r="F9" t="s">
        <v>43</v>
      </c>
      <c r="G9">
        <f>AVERAGEIFS('Working sheet'!C2:C1201,'Working sheet'!M2:M1201,1)</f>
        <v>6.7193548387096804</v>
      </c>
      <c r="H9" t="s">
        <v>44</v>
      </c>
    </row>
    <row r="10" spans="1:10" x14ac:dyDescent="0.25">
      <c r="A10">
        <v>10</v>
      </c>
      <c r="B10" t="s">
        <v>10</v>
      </c>
      <c r="C10" t="s">
        <v>9</v>
      </c>
      <c r="E10">
        <f>AVERAGEIFS('Working sheet'!E2:E1201,'Working sheet'!M2:M1201,0)</f>
        <v>6.4941830624465373</v>
      </c>
      <c r="F10" t="s">
        <v>45</v>
      </c>
      <c r="G10">
        <f>AVERAGEIFS('Working sheet'!E2:E1201,'Working sheet'!M2:M1201,1)</f>
        <v>4.7612903225806456</v>
      </c>
      <c r="H10" t="s">
        <v>46</v>
      </c>
    </row>
    <row r="11" spans="1:10" x14ac:dyDescent="0.25">
      <c r="A11">
        <v>11</v>
      </c>
      <c r="B11" t="s">
        <v>11</v>
      </c>
      <c r="C11" t="s">
        <v>12</v>
      </c>
    </row>
    <row r="12" spans="1:10" x14ac:dyDescent="0.25">
      <c r="A12">
        <v>12</v>
      </c>
      <c r="B12" t="s">
        <v>13</v>
      </c>
      <c r="C12" t="s">
        <v>12</v>
      </c>
    </row>
    <row r="13" spans="1:10" x14ac:dyDescent="0.25">
      <c r="A13">
        <v>13</v>
      </c>
      <c r="B13" t="s">
        <v>14</v>
      </c>
      <c r="C13" t="s">
        <v>15</v>
      </c>
      <c r="E13" t="s">
        <v>47</v>
      </c>
      <c r="F13">
        <f>AVERAGEIFS('Working sheet'!J2:J1201,'Working sheet'!M2:M1201,1)</f>
        <v>8.4838709677419359</v>
      </c>
      <c r="G13">
        <f>AVERAGEIFS('Working sheet'!J2:J1201,'Working sheet'!M2:M1201,0)</f>
        <v>5.365269461077844</v>
      </c>
      <c r="H13" t="s">
        <v>48</v>
      </c>
      <c r="I13">
        <f>AVERAGEIFS('Working sheet'!K2:K1201,'Working sheet'!M2:M1201,1)</f>
        <v>8.612903225806452</v>
      </c>
      <c r="J13">
        <f>AVERAGEIFS('Working sheet'!K2:K1201,'Working sheet'!M2:M1201,0)</f>
        <v>5.5577416595380669</v>
      </c>
    </row>
    <row r="14" spans="1:10" x14ac:dyDescent="0.25">
      <c r="A14">
        <v>14</v>
      </c>
      <c r="B14" t="s">
        <v>16</v>
      </c>
    </row>
    <row r="15" spans="1:10" x14ac:dyDescent="0.25">
      <c r="A15">
        <v>15</v>
      </c>
      <c r="B15" t="s">
        <v>17</v>
      </c>
    </row>
    <row r="16" spans="1:10" x14ac:dyDescent="0.25">
      <c r="A16">
        <v>16</v>
      </c>
      <c r="B16" t="s">
        <v>18</v>
      </c>
      <c r="C16" t="s">
        <v>19</v>
      </c>
      <c r="E16" t="s">
        <v>35</v>
      </c>
      <c r="F16">
        <f>COUNTIFS('Working sheet'!M2:M1201,1,'Working sheet'!D2:D1201,"Instagram")</f>
        <v>10</v>
      </c>
      <c r="G16" t="s">
        <v>49</v>
      </c>
      <c r="H16">
        <f>COUNTIFS('Working sheet'!M2:M1201,1,'Working sheet'!D2:D1201,"Tiktok")</f>
        <v>12</v>
      </c>
      <c r="I16" t="s">
        <v>41</v>
      </c>
      <c r="J16">
        <f>COUNTIFS('Working sheet'!M2:M1201,1,'Working sheet'!D2:D1201,"Both")</f>
        <v>9</v>
      </c>
    </row>
    <row r="17" spans="1:8" x14ac:dyDescent="0.25">
      <c r="A17">
        <v>17</v>
      </c>
      <c r="B17" t="s">
        <v>20</v>
      </c>
      <c r="C17" t="s">
        <v>19</v>
      </c>
      <c r="E17" t="s">
        <v>37</v>
      </c>
      <c r="F17">
        <f>COUNTIFS('Working sheet'!M2:M1201,1,'Working sheet'!B2:B1201,"female")</f>
        <v>17</v>
      </c>
      <c r="G17" t="s">
        <v>34</v>
      </c>
      <c r="H17">
        <f>COUNTIFS('Working sheet'!M2:M1201,1,'Working sheet'!B2:B1201,"male")</f>
        <v>14</v>
      </c>
    </row>
    <row r="20" spans="1:8" x14ac:dyDescent="0.25">
      <c r="G20" t="s">
        <v>71</v>
      </c>
      <c r="H20" t="s">
        <v>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3810D-070F-4F96-9E4F-8DF6DD3BD91B}">
  <dimension ref="A1:O132"/>
  <sheetViews>
    <sheetView topLeftCell="A105" zoomScale="60" zoomScaleNormal="60" workbookViewId="0">
      <selection activeCell="C123" sqref="C123"/>
    </sheetView>
  </sheetViews>
  <sheetFormatPr defaultRowHeight="15" x14ac:dyDescent="0.25"/>
  <cols>
    <col min="2" max="2" width="19.7109375" bestFit="1" customWidth="1"/>
    <col min="3" max="3" width="49" bestFit="1" customWidth="1"/>
    <col min="4" max="4" width="31.85546875" bestFit="1" customWidth="1"/>
    <col min="5" max="5" width="28" bestFit="1" customWidth="1"/>
    <col min="6" max="6" width="34.42578125" bestFit="1" customWidth="1"/>
    <col min="7" max="7" width="28" bestFit="1" customWidth="1"/>
    <col min="8" max="8" width="34.42578125" bestFit="1" customWidth="1"/>
    <col min="9" max="9" width="28" bestFit="1" customWidth="1"/>
    <col min="10" max="10" width="34.42578125" bestFit="1" customWidth="1"/>
    <col min="11" max="11" width="28" bestFit="1" customWidth="1"/>
    <col min="12" max="12" width="34.42578125" bestFit="1" customWidth="1"/>
    <col min="13" max="13" width="28" bestFit="1" customWidth="1"/>
    <col min="14" max="15" width="34.42578125" bestFit="1" customWidth="1"/>
    <col min="16" max="16" width="26.85546875" bestFit="1" customWidth="1"/>
    <col min="17" max="17" width="24.85546875" bestFit="1" customWidth="1"/>
    <col min="18" max="18" width="23.85546875" bestFit="1" customWidth="1"/>
    <col min="19" max="19" width="24" bestFit="1" customWidth="1"/>
    <col min="20" max="20" width="36.28515625" bestFit="1" customWidth="1"/>
    <col min="21" max="21" width="28" bestFit="1" customWidth="1"/>
    <col min="22" max="22" width="34.42578125" bestFit="1" customWidth="1"/>
  </cols>
  <sheetData>
    <row r="1" spans="1:9" x14ac:dyDescent="0.25">
      <c r="A1">
        <v>7</v>
      </c>
      <c r="B1" t="s">
        <v>6</v>
      </c>
      <c r="E1">
        <v>585</v>
      </c>
      <c r="F1" t="s">
        <v>37</v>
      </c>
      <c r="G1">
        <v>615</v>
      </c>
      <c r="H1" t="s">
        <v>34</v>
      </c>
    </row>
    <row r="2" spans="1:9" x14ac:dyDescent="0.25">
      <c r="B2" s="3" t="s">
        <v>50</v>
      </c>
      <c r="C2" t="s">
        <v>52</v>
      </c>
    </row>
    <row r="3" spans="1:9" x14ac:dyDescent="0.25">
      <c r="B3" s="4" t="s">
        <v>37</v>
      </c>
      <c r="C3">
        <v>585</v>
      </c>
    </row>
    <row r="4" spans="1:9" x14ac:dyDescent="0.25">
      <c r="B4" s="4" t="s">
        <v>34</v>
      </c>
      <c r="C4">
        <v>615</v>
      </c>
    </row>
    <row r="5" spans="1:9" x14ac:dyDescent="0.25">
      <c r="B5" s="4" t="s">
        <v>51</v>
      </c>
      <c r="C5">
        <v>1200</v>
      </c>
    </row>
    <row r="8" spans="1:9" x14ac:dyDescent="0.25">
      <c r="A8">
        <v>8</v>
      </c>
      <c r="B8" t="s">
        <v>7</v>
      </c>
      <c r="E8">
        <v>411</v>
      </c>
      <c r="F8">
        <v>398</v>
      </c>
      <c r="G8" t="s">
        <v>42</v>
      </c>
      <c r="H8">
        <v>391</v>
      </c>
      <c r="I8" t="s">
        <v>41</v>
      </c>
    </row>
    <row r="9" spans="1:9" x14ac:dyDescent="0.25">
      <c r="B9" s="3" t="s">
        <v>50</v>
      </c>
      <c r="C9" t="s">
        <v>53</v>
      </c>
    </row>
    <row r="10" spans="1:9" x14ac:dyDescent="0.25">
      <c r="B10" s="4" t="s">
        <v>41</v>
      </c>
      <c r="C10">
        <v>391</v>
      </c>
    </row>
    <row r="11" spans="1:9" x14ac:dyDescent="0.25">
      <c r="B11" s="4" t="s">
        <v>35</v>
      </c>
      <c r="C11">
        <v>411</v>
      </c>
    </row>
    <row r="12" spans="1:9" x14ac:dyDescent="0.25">
      <c r="B12" s="4" t="s">
        <v>38</v>
      </c>
      <c r="C12">
        <v>398</v>
      </c>
    </row>
    <row r="13" spans="1:9" x14ac:dyDescent="0.25">
      <c r="B13" s="4" t="s">
        <v>51</v>
      </c>
      <c r="C13">
        <v>1200</v>
      </c>
    </row>
    <row r="15" spans="1:9" x14ac:dyDescent="0.25">
      <c r="A15">
        <v>9</v>
      </c>
      <c r="B15" t="s">
        <v>8</v>
      </c>
      <c r="C15" t="s">
        <v>9</v>
      </c>
      <c r="E15">
        <v>4.4787852865697237</v>
      </c>
      <c r="F15" t="s">
        <v>43</v>
      </c>
      <c r="G15">
        <v>6.7193548387096804</v>
      </c>
      <c r="H15" t="s">
        <v>44</v>
      </c>
    </row>
    <row r="16" spans="1:9" x14ac:dyDescent="0.25">
      <c r="B16" s="3" t="s">
        <v>50</v>
      </c>
      <c r="C16" t="s">
        <v>55</v>
      </c>
      <c r="D16" t="s">
        <v>56</v>
      </c>
    </row>
    <row r="17" spans="1:15" x14ac:dyDescent="0.25">
      <c r="B17" s="4">
        <v>0</v>
      </c>
      <c r="C17">
        <v>4.4787852865697237</v>
      </c>
      <c r="D17">
        <v>6.4941830624465382</v>
      </c>
    </row>
    <row r="18" spans="1:15" x14ac:dyDescent="0.25">
      <c r="B18" s="4" t="s">
        <v>51</v>
      </c>
      <c r="C18">
        <v>4.4787852865697237</v>
      </c>
      <c r="D18">
        <v>6.4941830624465382</v>
      </c>
    </row>
    <row r="21" spans="1:15" x14ac:dyDescent="0.25">
      <c r="A21">
        <v>10</v>
      </c>
      <c r="B21" t="s">
        <v>10</v>
      </c>
      <c r="C21" t="s">
        <v>9</v>
      </c>
      <c r="E21">
        <v>6.4941830624465373</v>
      </c>
      <c r="F21" t="s">
        <v>45</v>
      </c>
      <c r="G21">
        <v>4.7612903225806456</v>
      </c>
      <c r="H21" t="s">
        <v>46</v>
      </c>
    </row>
    <row r="22" spans="1:15" x14ac:dyDescent="0.25">
      <c r="B22" s="3" t="s">
        <v>50</v>
      </c>
      <c r="C22" t="s">
        <v>55</v>
      </c>
      <c r="D22" t="s">
        <v>56</v>
      </c>
    </row>
    <row r="23" spans="1:15" x14ac:dyDescent="0.25">
      <c r="B23" s="4">
        <v>0</v>
      </c>
      <c r="C23" s="15">
        <v>4.4787852865697237</v>
      </c>
      <c r="D23" s="15">
        <v>6.4941830624465373</v>
      </c>
    </row>
    <row r="24" spans="1:15" x14ac:dyDescent="0.25">
      <c r="B24" s="4">
        <v>1</v>
      </c>
      <c r="C24" s="15">
        <v>6.7193548387096804</v>
      </c>
      <c r="D24" s="15">
        <v>4.7612903225806456</v>
      </c>
    </row>
    <row r="25" spans="1:15" x14ac:dyDescent="0.25">
      <c r="B25" s="4" t="s">
        <v>51</v>
      </c>
      <c r="C25" s="15">
        <v>4.5366666666666715</v>
      </c>
      <c r="D25" s="15">
        <v>6.4494166666666688</v>
      </c>
    </row>
    <row r="28" spans="1:15" x14ac:dyDescent="0.25">
      <c r="A28">
        <v>12</v>
      </c>
      <c r="B28" t="s">
        <v>13</v>
      </c>
      <c r="C28" t="s">
        <v>12</v>
      </c>
      <c r="J28">
        <v>11</v>
      </c>
      <c r="K28" t="s">
        <v>11</v>
      </c>
      <c r="L28" t="s">
        <v>12</v>
      </c>
    </row>
    <row r="29" spans="1:15" x14ac:dyDescent="0.25">
      <c r="B29" s="3" t="s">
        <v>50</v>
      </c>
      <c r="C29" t="s">
        <v>54</v>
      </c>
      <c r="F29" s="3" t="s">
        <v>50</v>
      </c>
      <c r="G29" t="s">
        <v>54</v>
      </c>
      <c r="H29" t="s">
        <v>61</v>
      </c>
      <c r="I29">
        <v>22</v>
      </c>
      <c r="J29" s="3" t="s">
        <v>50</v>
      </c>
      <c r="K29" t="s">
        <v>54</v>
      </c>
      <c r="L29" t="s">
        <v>63</v>
      </c>
      <c r="M29" s="3" t="s">
        <v>50</v>
      </c>
      <c r="N29" t="s">
        <v>54</v>
      </c>
      <c r="O29" t="s">
        <v>64</v>
      </c>
    </row>
    <row r="30" spans="1:15" x14ac:dyDescent="0.25">
      <c r="B30" s="4">
        <v>4</v>
      </c>
      <c r="C30">
        <v>0</v>
      </c>
      <c r="F30" s="4">
        <v>5.0999999999999996</v>
      </c>
      <c r="G30">
        <v>0</v>
      </c>
      <c r="H30" s="5" t="s">
        <v>62</v>
      </c>
      <c r="I30">
        <v>9</v>
      </c>
      <c r="J30" s="4">
        <v>1</v>
      </c>
      <c r="K30">
        <v>0</v>
      </c>
      <c r="M30" s="4">
        <v>7.1</v>
      </c>
      <c r="N30">
        <v>0</v>
      </c>
    </row>
    <row r="31" spans="1:15" x14ac:dyDescent="0.25">
      <c r="B31" s="4">
        <v>4.0999999999999996</v>
      </c>
      <c r="C31">
        <v>3</v>
      </c>
      <c r="F31" s="4">
        <v>5.2</v>
      </c>
      <c r="G31">
        <v>1</v>
      </c>
      <c r="J31" s="4">
        <v>1.1000000000000001</v>
      </c>
      <c r="K31">
        <v>0</v>
      </c>
      <c r="M31" s="4">
        <v>7.2</v>
      </c>
      <c r="N31">
        <v>2</v>
      </c>
    </row>
    <row r="32" spans="1:15" x14ac:dyDescent="0.25">
      <c r="B32" s="4">
        <v>4.2</v>
      </c>
      <c r="C32">
        <v>5</v>
      </c>
      <c r="F32" s="4">
        <v>5.3</v>
      </c>
      <c r="G32">
        <v>1</v>
      </c>
      <c r="J32" s="4">
        <v>1.2</v>
      </c>
      <c r="K32">
        <v>0</v>
      </c>
      <c r="M32" s="4">
        <v>7.3</v>
      </c>
      <c r="N32">
        <v>1</v>
      </c>
    </row>
    <row r="33" spans="2:14" x14ac:dyDescent="0.25">
      <c r="B33" s="4">
        <v>4.3</v>
      </c>
      <c r="C33">
        <v>2</v>
      </c>
      <c r="F33" s="4">
        <v>5.4</v>
      </c>
      <c r="G33">
        <v>1</v>
      </c>
      <c r="J33" s="4">
        <v>1.3</v>
      </c>
      <c r="K33">
        <v>0</v>
      </c>
      <c r="M33" s="4">
        <v>7.4</v>
      </c>
      <c r="N33">
        <v>2</v>
      </c>
    </row>
    <row r="34" spans="2:14" x14ac:dyDescent="0.25">
      <c r="B34" s="4">
        <v>4.4000000000000004</v>
      </c>
      <c r="C34">
        <v>3</v>
      </c>
      <c r="F34" s="4">
        <v>5.5</v>
      </c>
      <c r="G34">
        <v>1</v>
      </c>
      <c r="J34" s="4">
        <v>1.4</v>
      </c>
      <c r="K34">
        <v>0</v>
      </c>
      <c r="M34" s="4">
        <v>7.5</v>
      </c>
      <c r="N34">
        <v>2</v>
      </c>
    </row>
    <row r="35" spans="2:14" x14ac:dyDescent="0.25">
      <c r="B35" s="4">
        <v>4.5</v>
      </c>
      <c r="C35">
        <v>1</v>
      </c>
      <c r="F35" s="4">
        <v>5.6</v>
      </c>
      <c r="G35">
        <v>2</v>
      </c>
      <c r="J35" s="4">
        <v>1.5</v>
      </c>
      <c r="K35">
        <v>0</v>
      </c>
      <c r="M35" s="4">
        <v>7.6</v>
      </c>
      <c r="N35">
        <v>0</v>
      </c>
    </row>
    <row r="36" spans="2:14" x14ac:dyDescent="0.25">
      <c r="B36" s="4">
        <v>4.5999999999999996</v>
      </c>
      <c r="C36">
        <v>2</v>
      </c>
      <c r="F36" s="4">
        <v>5.7</v>
      </c>
      <c r="G36">
        <v>2</v>
      </c>
      <c r="J36" s="4">
        <v>1.6</v>
      </c>
      <c r="K36">
        <v>0</v>
      </c>
      <c r="M36" s="4">
        <v>7.7</v>
      </c>
      <c r="N36">
        <v>2</v>
      </c>
    </row>
    <row r="37" spans="2:14" x14ac:dyDescent="0.25">
      <c r="B37" s="4">
        <v>4.7</v>
      </c>
      <c r="C37">
        <v>2</v>
      </c>
      <c r="F37" s="4">
        <v>5.8</v>
      </c>
      <c r="G37">
        <v>1</v>
      </c>
      <c r="J37" s="4">
        <v>1.7</v>
      </c>
      <c r="K37">
        <v>0</v>
      </c>
      <c r="M37" s="4">
        <v>7.8</v>
      </c>
      <c r="N37">
        <v>4</v>
      </c>
    </row>
    <row r="38" spans="2:14" x14ac:dyDescent="0.25">
      <c r="B38" s="4">
        <v>4.8</v>
      </c>
      <c r="C38">
        <v>2</v>
      </c>
      <c r="F38" s="4">
        <v>5.9</v>
      </c>
      <c r="G38">
        <v>0</v>
      </c>
      <c r="J38" s="4">
        <v>1.8</v>
      </c>
      <c r="K38">
        <v>0</v>
      </c>
      <c r="M38" s="4">
        <v>7.9</v>
      </c>
      <c r="N38">
        <v>0</v>
      </c>
    </row>
    <row r="39" spans="2:14" x14ac:dyDescent="0.25">
      <c r="B39" s="4">
        <v>4.9000000000000004</v>
      </c>
      <c r="C39">
        <v>0</v>
      </c>
      <c r="F39" s="4">
        <v>6</v>
      </c>
      <c r="G39">
        <v>0</v>
      </c>
      <c r="J39" s="4">
        <v>1.9</v>
      </c>
      <c r="K39">
        <v>0</v>
      </c>
      <c r="M39" s="4">
        <v>8</v>
      </c>
      <c r="N39">
        <v>2</v>
      </c>
    </row>
    <row r="40" spans="2:14" x14ac:dyDescent="0.25">
      <c r="B40" s="4">
        <v>5</v>
      </c>
      <c r="C40">
        <v>2</v>
      </c>
      <c r="F40" s="4">
        <v>6.1</v>
      </c>
      <c r="G40">
        <v>0</v>
      </c>
      <c r="J40" s="4">
        <v>2</v>
      </c>
      <c r="K40">
        <v>0</v>
      </c>
      <c r="M40" s="4" t="s">
        <v>51</v>
      </c>
      <c r="N40">
        <v>15</v>
      </c>
    </row>
    <row r="41" spans="2:14" x14ac:dyDescent="0.25">
      <c r="B41" s="4" t="s">
        <v>51</v>
      </c>
      <c r="C41">
        <v>22</v>
      </c>
      <c r="F41" s="4">
        <v>6.2</v>
      </c>
      <c r="G41">
        <v>0</v>
      </c>
      <c r="J41" s="4">
        <v>2.1</v>
      </c>
      <c r="K41">
        <v>0</v>
      </c>
    </row>
    <row r="42" spans="2:14" x14ac:dyDescent="0.25">
      <c r="B42" t="s">
        <v>65</v>
      </c>
      <c r="C42" t="s">
        <v>66</v>
      </c>
      <c r="F42" s="4">
        <v>6.3</v>
      </c>
      <c r="G42">
        <v>0</v>
      </c>
      <c r="J42" s="4">
        <v>2.2000000000000002</v>
      </c>
      <c r="K42">
        <v>0</v>
      </c>
      <c r="M42" t="s">
        <v>68</v>
      </c>
      <c r="N42">
        <v>16</v>
      </c>
    </row>
    <row r="43" spans="2:14" x14ac:dyDescent="0.25">
      <c r="B43" t="s">
        <v>70</v>
      </c>
      <c r="C43">
        <v>22</v>
      </c>
      <c r="F43" s="4">
        <v>6.4</v>
      </c>
      <c r="G43">
        <v>0</v>
      </c>
      <c r="J43" s="4">
        <v>2.2999999999999998</v>
      </c>
      <c r="K43">
        <v>0</v>
      </c>
      <c r="M43" t="s">
        <v>69</v>
      </c>
      <c r="N43">
        <v>15</v>
      </c>
    </row>
    <row r="44" spans="2:14" x14ac:dyDescent="0.25">
      <c r="B44" s="6" t="s">
        <v>67</v>
      </c>
      <c r="C44">
        <v>9</v>
      </c>
      <c r="F44" s="4">
        <v>6.5</v>
      </c>
      <c r="G44">
        <v>0</v>
      </c>
      <c r="J44" s="4">
        <v>2.4</v>
      </c>
      <c r="K44">
        <v>0</v>
      </c>
    </row>
    <row r="45" spans="2:14" x14ac:dyDescent="0.25">
      <c r="F45" s="4">
        <v>6.6</v>
      </c>
      <c r="G45">
        <v>0</v>
      </c>
      <c r="J45" s="4">
        <v>2.5</v>
      </c>
      <c r="K45">
        <v>0</v>
      </c>
    </row>
    <row r="46" spans="2:14" x14ac:dyDescent="0.25">
      <c r="F46" s="4">
        <v>6.7</v>
      </c>
      <c r="G46">
        <v>0</v>
      </c>
      <c r="J46" s="4">
        <v>2.6</v>
      </c>
      <c r="K46">
        <v>0</v>
      </c>
    </row>
    <row r="47" spans="2:14" x14ac:dyDescent="0.25">
      <c r="F47" s="4">
        <v>6.8</v>
      </c>
      <c r="G47">
        <v>0</v>
      </c>
      <c r="J47" s="4">
        <v>2.7</v>
      </c>
      <c r="K47">
        <v>0</v>
      </c>
    </row>
    <row r="48" spans="2:14" x14ac:dyDescent="0.25">
      <c r="F48" s="4">
        <v>6.9</v>
      </c>
      <c r="G48">
        <v>0</v>
      </c>
      <c r="J48" s="4">
        <v>2.8</v>
      </c>
      <c r="K48">
        <v>0</v>
      </c>
    </row>
    <row r="49" spans="6:11" x14ac:dyDescent="0.25">
      <c r="F49" s="4">
        <v>7</v>
      </c>
      <c r="G49">
        <v>0</v>
      </c>
      <c r="J49" s="4">
        <v>2.9</v>
      </c>
      <c r="K49">
        <v>0</v>
      </c>
    </row>
    <row r="50" spans="6:11" x14ac:dyDescent="0.25">
      <c r="F50" s="4">
        <v>7.1</v>
      </c>
      <c r="G50">
        <v>0</v>
      </c>
      <c r="J50" s="4">
        <v>3</v>
      </c>
      <c r="K50">
        <v>0</v>
      </c>
    </row>
    <row r="51" spans="6:11" x14ac:dyDescent="0.25">
      <c r="F51" s="4">
        <v>7.2</v>
      </c>
      <c r="G51">
        <v>0</v>
      </c>
      <c r="J51" s="4">
        <v>3.1</v>
      </c>
      <c r="K51">
        <v>0</v>
      </c>
    </row>
    <row r="52" spans="6:11" x14ac:dyDescent="0.25">
      <c r="F52" s="4">
        <v>7.3</v>
      </c>
      <c r="G52">
        <v>0</v>
      </c>
      <c r="J52" s="4">
        <v>3.2</v>
      </c>
      <c r="K52">
        <v>0</v>
      </c>
    </row>
    <row r="53" spans="6:11" x14ac:dyDescent="0.25">
      <c r="F53" s="4">
        <v>7.4</v>
      </c>
      <c r="G53">
        <v>0</v>
      </c>
      <c r="J53" s="4">
        <v>3.3</v>
      </c>
      <c r="K53">
        <v>0</v>
      </c>
    </row>
    <row r="54" spans="6:11" x14ac:dyDescent="0.25">
      <c r="F54" s="4">
        <v>7.5</v>
      </c>
      <c r="G54">
        <v>0</v>
      </c>
      <c r="J54" s="4">
        <v>3.4</v>
      </c>
      <c r="K54">
        <v>0</v>
      </c>
    </row>
    <row r="55" spans="6:11" x14ac:dyDescent="0.25">
      <c r="F55" s="4">
        <v>7.6</v>
      </c>
      <c r="G55">
        <v>0</v>
      </c>
      <c r="J55" s="4">
        <v>3.5</v>
      </c>
      <c r="K55">
        <v>0</v>
      </c>
    </row>
    <row r="56" spans="6:11" x14ac:dyDescent="0.25">
      <c r="F56" s="4">
        <v>7.7</v>
      </c>
      <c r="G56">
        <v>0</v>
      </c>
      <c r="J56" s="4">
        <v>3.6</v>
      </c>
      <c r="K56">
        <v>0</v>
      </c>
    </row>
    <row r="57" spans="6:11" x14ac:dyDescent="0.25">
      <c r="F57" s="4">
        <v>7.8</v>
      </c>
      <c r="G57">
        <v>0</v>
      </c>
      <c r="J57" s="4">
        <v>3.7</v>
      </c>
      <c r="K57">
        <v>0</v>
      </c>
    </row>
    <row r="58" spans="6:11" x14ac:dyDescent="0.25">
      <c r="F58" s="4">
        <v>7.9</v>
      </c>
      <c r="G58">
        <v>0</v>
      </c>
      <c r="J58" s="4">
        <v>3.8</v>
      </c>
      <c r="K58">
        <v>0</v>
      </c>
    </row>
    <row r="59" spans="6:11" x14ac:dyDescent="0.25">
      <c r="F59" s="4">
        <v>8</v>
      </c>
      <c r="G59">
        <v>0</v>
      </c>
      <c r="J59" s="4">
        <v>3.9</v>
      </c>
      <c r="K59">
        <v>0</v>
      </c>
    </row>
    <row r="60" spans="6:11" x14ac:dyDescent="0.25">
      <c r="F60" s="4" t="s">
        <v>51</v>
      </c>
      <c r="G60">
        <v>9</v>
      </c>
      <c r="J60" s="4">
        <v>4</v>
      </c>
      <c r="K60">
        <v>0</v>
      </c>
    </row>
    <row r="61" spans="6:11" x14ac:dyDescent="0.25">
      <c r="J61" s="4">
        <v>4.0999999999999996</v>
      </c>
      <c r="K61">
        <v>0</v>
      </c>
    </row>
    <row r="62" spans="6:11" x14ac:dyDescent="0.25">
      <c r="J62" s="4">
        <v>4.2</v>
      </c>
      <c r="K62">
        <v>0</v>
      </c>
    </row>
    <row r="63" spans="6:11" x14ac:dyDescent="0.25">
      <c r="J63" s="4">
        <v>4.3</v>
      </c>
      <c r="K63">
        <v>0</v>
      </c>
    </row>
    <row r="64" spans="6:11" x14ac:dyDescent="0.25">
      <c r="J64" s="4">
        <v>4.4000000000000004</v>
      </c>
      <c r="K64">
        <v>0</v>
      </c>
    </row>
    <row r="65" spans="10:11" x14ac:dyDescent="0.25">
      <c r="J65" s="4">
        <v>4.5</v>
      </c>
      <c r="K65">
        <v>0</v>
      </c>
    </row>
    <row r="66" spans="10:11" x14ac:dyDescent="0.25">
      <c r="J66" s="4">
        <v>4.5999999999999996</v>
      </c>
      <c r="K66">
        <v>0</v>
      </c>
    </row>
    <row r="67" spans="10:11" x14ac:dyDescent="0.25">
      <c r="J67" s="4">
        <v>4.7</v>
      </c>
      <c r="K67">
        <v>0</v>
      </c>
    </row>
    <row r="68" spans="10:11" x14ac:dyDescent="0.25">
      <c r="J68" s="4">
        <v>4.8</v>
      </c>
      <c r="K68">
        <v>0</v>
      </c>
    </row>
    <row r="69" spans="10:11" x14ac:dyDescent="0.25">
      <c r="J69" s="4">
        <v>4.9000000000000004</v>
      </c>
      <c r="K69">
        <v>0</v>
      </c>
    </row>
    <row r="70" spans="10:11" x14ac:dyDescent="0.25">
      <c r="J70" s="4">
        <v>5</v>
      </c>
      <c r="K70">
        <v>0</v>
      </c>
    </row>
    <row r="71" spans="10:11" x14ac:dyDescent="0.25">
      <c r="J71" s="4">
        <v>5.0999999999999996</v>
      </c>
      <c r="K71">
        <v>1</v>
      </c>
    </row>
    <row r="72" spans="10:11" x14ac:dyDescent="0.25">
      <c r="J72" s="4">
        <v>5.2</v>
      </c>
      <c r="K72">
        <v>2</v>
      </c>
    </row>
    <row r="73" spans="10:11" x14ac:dyDescent="0.25">
      <c r="J73" s="4">
        <v>5.3</v>
      </c>
      <c r="K73">
        <v>3</v>
      </c>
    </row>
    <row r="74" spans="10:11" x14ac:dyDescent="0.25">
      <c r="J74" s="4">
        <v>5.4</v>
      </c>
      <c r="K74">
        <v>1</v>
      </c>
    </row>
    <row r="75" spans="10:11" x14ac:dyDescent="0.25">
      <c r="J75" s="4">
        <v>5.5</v>
      </c>
      <c r="K75">
        <v>1</v>
      </c>
    </row>
    <row r="76" spans="10:11" x14ac:dyDescent="0.25">
      <c r="J76" s="4">
        <v>5.6</v>
      </c>
      <c r="K76">
        <v>0</v>
      </c>
    </row>
    <row r="77" spans="10:11" x14ac:dyDescent="0.25">
      <c r="J77" s="4">
        <v>5.7</v>
      </c>
      <c r="K77">
        <v>0</v>
      </c>
    </row>
    <row r="78" spans="10:11" x14ac:dyDescent="0.25">
      <c r="J78" s="4">
        <v>5.8</v>
      </c>
      <c r="K78">
        <v>0</v>
      </c>
    </row>
    <row r="79" spans="10:11" x14ac:dyDescent="0.25">
      <c r="J79" s="4">
        <v>5.9</v>
      </c>
      <c r="K79">
        <v>0</v>
      </c>
    </row>
    <row r="80" spans="10:11" x14ac:dyDescent="0.25">
      <c r="J80" s="4">
        <v>6</v>
      </c>
      <c r="K80">
        <v>1</v>
      </c>
    </row>
    <row r="81" spans="1:11" x14ac:dyDescent="0.25">
      <c r="J81" s="4">
        <v>6.1</v>
      </c>
      <c r="K81">
        <v>0</v>
      </c>
    </row>
    <row r="82" spans="1:11" x14ac:dyDescent="0.25">
      <c r="J82" s="4">
        <v>6.2</v>
      </c>
      <c r="K82">
        <v>2</v>
      </c>
    </row>
    <row r="83" spans="1:11" x14ac:dyDescent="0.25">
      <c r="J83" s="4">
        <v>6.3</v>
      </c>
      <c r="K83">
        <v>1</v>
      </c>
    </row>
    <row r="84" spans="1:11" x14ac:dyDescent="0.25">
      <c r="J84" s="4">
        <v>6.4</v>
      </c>
      <c r="K84">
        <v>1</v>
      </c>
    </row>
    <row r="85" spans="1:11" x14ac:dyDescent="0.25">
      <c r="J85" s="4">
        <v>6.5</v>
      </c>
      <c r="K85">
        <v>0</v>
      </c>
    </row>
    <row r="86" spans="1:11" x14ac:dyDescent="0.25">
      <c r="J86" s="4">
        <v>6.6</v>
      </c>
      <c r="K86">
        <v>0</v>
      </c>
    </row>
    <row r="87" spans="1:11" x14ac:dyDescent="0.25">
      <c r="J87" s="4">
        <v>6.7</v>
      </c>
      <c r="K87">
        <v>0</v>
      </c>
    </row>
    <row r="88" spans="1:11" x14ac:dyDescent="0.25">
      <c r="J88" s="4">
        <v>6.8</v>
      </c>
      <c r="K88">
        <v>0</v>
      </c>
    </row>
    <row r="89" spans="1:11" x14ac:dyDescent="0.25">
      <c r="J89" s="4">
        <v>6.9</v>
      </c>
      <c r="K89">
        <v>2</v>
      </c>
    </row>
    <row r="90" spans="1:11" x14ac:dyDescent="0.25">
      <c r="J90" s="4">
        <v>7</v>
      </c>
      <c r="K90">
        <v>1</v>
      </c>
    </row>
    <row r="91" spans="1:11" x14ac:dyDescent="0.25">
      <c r="J91" s="4" t="s">
        <v>51</v>
      </c>
      <c r="K91">
        <v>16</v>
      </c>
    </row>
    <row r="95" spans="1:11" x14ac:dyDescent="0.25">
      <c r="B95" s="3" t="s">
        <v>33</v>
      </c>
      <c r="C95" t="s">
        <v>57</v>
      </c>
    </row>
    <row r="96" spans="1:11" x14ac:dyDescent="0.25">
      <c r="A96">
        <v>14</v>
      </c>
      <c r="B96" t="s">
        <v>16</v>
      </c>
    </row>
    <row r="97" spans="2:5" x14ac:dyDescent="0.25">
      <c r="B97" s="3" t="s">
        <v>50</v>
      </c>
      <c r="C97" t="s">
        <v>60</v>
      </c>
      <c r="D97" t="s">
        <v>58</v>
      </c>
      <c r="E97" t="s">
        <v>59</v>
      </c>
    </row>
    <row r="98" spans="2:5" x14ac:dyDescent="0.25">
      <c r="B98" s="4">
        <v>13</v>
      </c>
      <c r="C98">
        <v>5.7450000000000001</v>
      </c>
      <c r="D98">
        <v>5.5549999999999997</v>
      </c>
      <c r="E98">
        <v>5.46</v>
      </c>
    </row>
    <row r="99" spans="2:5" x14ac:dyDescent="0.25">
      <c r="B99" s="4">
        <v>14</v>
      </c>
      <c r="C99">
        <v>5.2026143790849675</v>
      </c>
      <c r="D99">
        <v>5.333333333333333</v>
      </c>
      <c r="E99">
        <v>6.1764705882352944</v>
      </c>
    </row>
    <row r="100" spans="2:5" x14ac:dyDescent="0.25">
      <c r="B100" s="4">
        <v>15</v>
      </c>
      <c r="C100">
        <v>5.2833333333333332</v>
      </c>
      <c r="D100">
        <v>5.916666666666667</v>
      </c>
      <c r="E100">
        <v>5.1333333333333337</v>
      </c>
    </row>
    <row r="101" spans="2:5" x14ac:dyDescent="0.25">
      <c r="B101" s="4">
        <v>16</v>
      </c>
      <c r="C101">
        <v>5.4110429447852759</v>
      </c>
      <c r="D101">
        <v>5.6441717791411046</v>
      </c>
      <c r="E101">
        <v>5.4539877300613497</v>
      </c>
    </row>
    <row r="102" spans="2:5" x14ac:dyDescent="0.25">
      <c r="B102" s="4">
        <v>17</v>
      </c>
      <c r="C102">
        <v>5.7823529411764705</v>
      </c>
      <c r="D102">
        <v>5.5764705882352938</v>
      </c>
      <c r="E102">
        <v>5.1705882352941179</v>
      </c>
    </row>
    <row r="103" spans="2:5" x14ac:dyDescent="0.25">
      <c r="B103" s="4">
        <v>18</v>
      </c>
      <c r="C103">
        <v>5.5813953488372094</v>
      </c>
      <c r="D103">
        <v>5.4186046511627906</v>
      </c>
      <c r="E103">
        <v>5.2034883720930232</v>
      </c>
    </row>
    <row r="104" spans="2:5" x14ac:dyDescent="0.25">
      <c r="B104" s="4">
        <v>19</v>
      </c>
      <c r="C104">
        <v>5.9074074074074074</v>
      </c>
      <c r="D104">
        <v>6</v>
      </c>
      <c r="E104">
        <v>5.6234567901234565</v>
      </c>
    </row>
    <row r="105" spans="2:5" x14ac:dyDescent="0.25">
      <c r="B105" s="4" t="s">
        <v>51</v>
      </c>
      <c r="C105">
        <v>5.5650000000000004</v>
      </c>
      <c r="D105">
        <v>5.6366666666666667</v>
      </c>
      <c r="E105">
        <v>5.4458333333333337</v>
      </c>
    </row>
    <row r="118" spans="1:10" x14ac:dyDescent="0.25">
      <c r="A118">
        <v>15</v>
      </c>
      <c r="B118" t="s">
        <v>17</v>
      </c>
    </row>
    <row r="120" spans="1:10" x14ac:dyDescent="0.25">
      <c r="A120">
        <v>16</v>
      </c>
      <c r="B120" t="s">
        <v>18</v>
      </c>
      <c r="C120" t="s">
        <v>19</v>
      </c>
      <c r="E120" t="s">
        <v>35</v>
      </c>
      <c r="F120">
        <v>10</v>
      </c>
      <c r="G120" t="s">
        <v>49</v>
      </c>
      <c r="H120">
        <v>12</v>
      </c>
      <c r="I120" t="s">
        <v>41</v>
      </c>
      <c r="J120">
        <v>9</v>
      </c>
    </row>
    <row r="121" spans="1:10" x14ac:dyDescent="0.25">
      <c r="B121" s="3" t="s">
        <v>50</v>
      </c>
      <c r="C121" t="s">
        <v>54</v>
      </c>
    </row>
    <row r="122" spans="1:10" x14ac:dyDescent="0.25">
      <c r="B122" s="4" t="s">
        <v>41</v>
      </c>
      <c r="C122">
        <v>9</v>
      </c>
    </row>
    <row r="123" spans="1:10" x14ac:dyDescent="0.25">
      <c r="B123" s="4" t="s">
        <v>35</v>
      </c>
      <c r="C123">
        <v>10</v>
      </c>
    </row>
    <row r="124" spans="1:10" x14ac:dyDescent="0.25">
      <c r="B124" s="4" t="s">
        <v>38</v>
      </c>
      <c r="C124">
        <v>12</v>
      </c>
    </row>
    <row r="125" spans="1:10" x14ac:dyDescent="0.25">
      <c r="B125" s="4" t="s">
        <v>51</v>
      </c>
      <c r="C125">
        <v>31</v>
      </c>
    </row>
    <row r="128" spans="1:10" x14ac:dyDescent="0.25">
      <c r="A128">
        <v>17</v>
      </c>
      <c r="B128" t="s">
        <v>20</v>
      </c>
      <c r="C128" t="s">
        <v>19</v>
      </c>
      <c r="E128" t="s">
        <v>37</v>
      </c>
      <c r="F128">
        <f>COUNTIFS('Working sheet'!M113:M1312,1,'Working sheet'!B113:B1312,"female")</f>
        <v>17</v>
      </c>
      <c r="G128" t="s">
        <v>34</v>
      </c>
      <c r="H128">
        <f>COUNTIFS('Working sheet'!M113:M1312,1,'Working sheet'!B113:B1312,"male")</f>
        <v>13</v>
      </c>
    </row>
    <row r="129" spans="2:3" x14ac:dyDescent="0.25">
      <c r="B129" s="3" t="s">
        <v>50</v>
      </c>
      <c r="C129" t="s">
        <v>54</v>
      </c>
    </row>
    <row r="130" spans="2:3" x14ac:dyDescent="0.25">
      <c r="B130" s="4" t="s">
        <v>37</v>
      </c>
      <c r="C130">
        <v>17</v>
      </c>
    </row>
    <row r="131" spans="2:3" x14ac:dyDescent="0.25">
      <c r="B131" s="4" t="s">
        <v>34</v>
      </c>
      <c r="C131">
        <v>14</v>
      </c>
    </row>
    <row r="132" spans="2:3" x14ac:dyDescent="0.25">
      <c r="B132" s="4" t="s">
        <v>51</v>
      </c>
      <c r="C132">
        <v>31</v>
      </c>
    </row>
  </sheetData>
  <pageMargins left="0.7" right="0.7" top="0.75" bottom="0.75" header="0.3" footer="0.3"/>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921A4-676C-47E3-8FF1-F2BBAE962FAC}">
  <dimension ref="A1"/>
  <sheetViews>
    <sheetView tabSelected="1" zoomScale="40" zoomScaleNormal="40" workbookViewId="0">
      <selection activeCell="AO9" sqref="AO9"/>
    </sheetView>
  </sheetViews>
  <sheetFormatPr defaultRowHeight="15" x14ac:dyDescent="0.25"/>
  <cols>
    <col min="5" max="5" width="9.140625" customWidth="1"/>
  </cols>
  <sheetData/>
  <pageMargins left="0.7" right="0.7" top="0.75" bottom="0.75" header="0.3" footer="0.3"/>
  <pageSetup paperSize="9" orientation="landscape"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Teen_Mental_Health_Dataset</vt:lpstr>
      <vt:lpstr>Working sheet</vt:lpstr>
      <vt:lpstr>Analis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lala thu</cp:lastModifiedBy>
  <dcterms:created xsi:type="dcterms:W3CDTF">2026-04-28T12:38:55Z</dcterms:created>
  <dcterms:modified xsi:type="dcterms:W3CDTF">2026-04-29T09:06:40Z</dcterms:modified>
</cp:coreProperties>
</file>